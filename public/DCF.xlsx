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3B08E228-8A6D-4EAD-BB8A-6CDEA568B234}" xr6:coauthVersionLast="47" xr6:coauthVersionMax="47" xr10:uidLastSave="{00000000-0000-0000-0000-000000000000}"/>
  <bookViews>
    <workbookView xWindow="-120" yWindow="-120" windowWidth="45360" windowHeight="25620" xr2:uid="{FF46D825-2A77-412A-B281-5F18DA47630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H4" i="1"/>
  <c r="M80" i="1"/>
  <c r="N80" i="1"/>
  <c r="O80" i="1"/>
  <c r="P80" i="1"/>
  <c r="Q80" i="1"/>
  <c r="R80" i="1"/>
  <c r="S80" i="1"/>
  <c r="T80" i="1"/>
  <c r="L80" i="1"/>
  <c r="K80" i="1"/>
  <c r="J80" i="1"/>
  <c r="I80" i="1"/>
  <c r="H80" i="1"/>
  <c r="G51" i="1"/>
  <c r="I48" i="1"/>
  <c r="J48" i="1" s="1"/>
  <c r="K48" i="1" s="1"/>
  <c r="L48" i="1" s="1"/>
  <c r="M48" i="1" s="1"/>
  <c r="G47" i="1"/>
  <c r="G52" i="1" s="1"/>
  <c r="G4" i="1"/>
  <c r="H3" i="1"/>
  <c r="N48" i="1" l="1"/>
  <c r="O48" i="1" s="1"/>
  <c r="P48" i="1" s="1"/>
  <c r="Q48" i="1" s="1"/>
  <c r="R48" i="1" s="1"/>
  <c r="S48" i="1" s="1"/>
  <c r="T48" i="1" s="1"/>
  <c r="H7" i="1"/>
  <c r="G53" i="1"/>
  <c r="I3" i="1"/>
  <c r="H6" i="1"/>
  <c r="I4" i="1" l="1"/>
  <c r="J3" i="1" s="1"/>
  <c r="H8" i="1"/>
  <c r="H67" i="1"/>
  <c r="G54" i="1"/>
  <c r="G36" i="1"/>
  <c r="G18" i="1"/>
  <c r="H70" i="1" l="1"/>
  <c r="I6" i="1"/>
  <c r="I7" i="1"/>
  <c r="H77" i="1"/>
  <c r="H42" i="1"/>
  <c r="J4" i="1"/>
  <c r="K3" i="1" s="1"/>
  <c r="G16" i="1"/>
  <c r="G29" i="1"/>
  <c r="G38" i="1" s="1"/>
  <c r="H69" i="1"/>
  <c r="K4" i="1" l="1"/>
  <c r="L3" i="1" s="1"/>
  <c r="I8" i="1"/>
  <c r="I42" i="1" s="1"/>
  <c r="G28" i="1"/>
  <c r="G30" i="1" s="1"/>
  <c r="G34" i="1" s="1"/>
  <c r="G87" i="1"/>
  <c r="G91" i="1" s="1"/>
  <c r="H51" i="1"/>
  <c r="H47" i="1"/>
  <c r="H52" i="1" s="1"/>
  <c r="H58" i="1"/>
  <c r="H71" i="1"/>
  <c r="H82" i="1" s="1"/>
  <c r="H81" i="1"/>
  <c r="H90" i="1"/>
  <c r="J6" i="1"/>
  <c r="J8" i="1" s="1"/>
  <c r="J7" i="1"/>
  <c r="H55" i="1"/>
  <c r="K6" i="1" l="1"/>
  <c r="K8" i="1" s="1"/>
  <c r="J42" i="1"/>
  <c r="J51" i="1" s="1"/>
  <c r="I47" i="1"/>
  <c r="I52" i="1" s="1"/>
  <c r="I51" i="1"/>
  <c r="J69" i="1"/>
  <c r="K7" i="1"/>
  <c r="H72" i="1"/>
  <c r="I67" i="1" s="1"/>
  <c r="H53" i="1"/>
  <c r="H54" i="1" s="1"/>
  <c r="I77" i="1"/>
  <c r="I69" i="1"/>
  <c r="L4" i="1"/>
  <c r="L7" i="1" s="1"/>
  <c r="J47" i="1" l="1"/>
  <c r="J52" i="1" s="1"/>
  <c r="J53" i="1" s="1"/>
  <c r="J54" i="1" s="1"/>
  <c r="K42" i="1"/>
  <c r="K51" i="1" s="1"/>
  <c r="L6" i="1"/>
  <c r="M3" i="1"/>
  <c r="I90" i="1"/>
  <c r="I81" i="1"/>
  <c r="I55" i="1"/>
  <c r="J77" i="1"/>
  <c r="K69" i="1"/>
  <c r="I53" i="1"/>
  <c r="H76" i="1"/>
  <c r="H89" i="1"/>
  <c r="I70" i="1"/>
  <c r="J90" i="1"/>
  <c r="J81" i="1"/>
  <c r="K47" i="1" l="1"/>
  <c r="K52" i="1" s="1"/>
  <c r="K53" i="1" s="1"/>
  <c r="K54" i="1" s="1"/>
  <c r="M4" i="1"/>
  <c r="N3" i="1" s="1"/>
  <c r="L8" i="1"/>
  <c r="L42" i="1" s="1"/>
  <c r="I58" i="1"/>
  <c r="I71" i="1"/>
  <c r="I76" i="1"/>
  <c r="I89" i="1"/>
  <c r="K81" i="1"/>
  <c r="K90" i="1"/>
  <c r="K77" i="1"/>
  <c r="J55" i="1"/>
  <c r="J76" i="1"/>
  <c r="J89" i="1"/>
  <c r="I54" i="1"/>
  <c r="M7" i="1" l="1"/>
  <c r="M6" i="1"/>
  <c r="M8" i="1" s="1"/>
  <c r="M42" i="1" s="1"/>
  <c r="L47" i="1"/>
  <c r="L52" i="1" s="1"/>
  <c r="L51" i="1"/>
  <c r="N4" i="1"/>
  <c r="O3" i="1" s="1"/>
  <c r="I82" i="1"/>
  <c r="I72" i="1"/>
  <c r="J67" i="1" s="1"/>
  <c r="K76" i="1"/>
  <c r="K89" i="1"/>
  <c r="K55" i="1"/>
  <c r="L77" i="1"/>
  <c r="N6" i="1" l="1"/>
  <c r="N8" i="1" s="1"/>
  <c r="N42" i="1" s="1"/>
  <c r="N7" i="1"/>
  <c r="M51" i="1"/>
  <c r="M47" i="1"/>
  <c r="M52" i="1" s="1"/>
  <c r="L53" i="1"/>
  <c r="L55" i="1"/>
  <c r="M77" i="1"/>
  <c r="O4" i="1"/>
  <c r="P3" i="1" s="1"/>
  <c r="J70" i="1"/>
  <c r="M54" i="1" l="1"/>
  <c r="M53" i="1"/>
  <c r="M89" i="1" s="1"/>
  <c r="P4" i="1"/>
  <c r="Q3" i="1" s="1"/>
  <c r="N47" i="1"/>
  <c r="N52" i="1" s="1"/>
  <c r="N51" i="1"/>
  <c r="O6" i="1"/>
  <c r="M55" i="1"/>
  <c r="N77" i="1"/>
  <c r="L76" i="1"/>
  <c r="L89" i="1"/>
  <c r="O7" i="1"/>
  <c r="L54" i="1"/>
  <c r="N69" i="1"/>
  <c r="J71" i="1"/>
  <c r="J82" i="1" s="1"/>
  <c r="J58" i="1"/>
  <c r="M76" i="1" l="1"/>
  <c r="P6" i="1"/>
  <c r="P8" i="1" s="1"/>
  <c r="P7" i="1"/>
  <c r="O8" i="1"/>
  <c r="O42" i="1" s="1"/>
  <c r="N81" i="1"/>
  <c r="N90" i="1"/>
  <c r="N53" i="1"/>
  <c r="N54" i="1"/>
  <c r="N55" i="1"/>
  <c r="Q4" i="1"/>
  <c r="R3" i="1" s="1"/>
  <c r="J72" i="1"/>
  <c r="K67" i="1" s="1"/>
  <c r="P69" i="1" l="1"/>
  <c r="R4" i="1"/>
  <c r="S3" i="1" s="1"/>
  <c r="N76" i="1"/>
  <c r="N89" i="1"/>
  <c r="O47" i="1"/>
  <c r="O52" i="1" s="1"/>
  <c r="O51" i="1"/>
  <c r="Q7" i="1"/>
  <c r="O69" i="1"/>
  <c r="P90" i="1"/>
  <c r="P81" i="1"/>
  <c r="Q6" i="1"/>
  <c r="O77" i="1"/>
  <c r="P42" i="1"/>
  <c r="K70" i="1"/>
  <c r="R6" i="1" l="1"/>
  <c r="R7" i="1"/>
  <c r="Q8" i="1"/>
  <c r="Q42" i="1" s="1"/>
  <c r="Q69" i="1"/>
  <c r="O53" i="1"/>
  <c r="O54" i="1"/>
  <c r="P47" i="1"/>
  <c r="P52" i="1" s="1"/>
  <c r="P51" i="1"/>
  <c r="R8" i="1"/>
  <c r="O55" i="1"/>
  <c r="P77" i="1"/>
  <c r="O90" i="1"/>
  <c r="O81" i="1"/>
  <c r="S4" i="1"/>
  <c r="T3" i="1" s="1"/>
  <c r="K58" i="1"/>
  <c r="K71" i="1"/>
  <c r="S6" i="1" l="1"/>
  <c r="S8" i="1" s="1"/>
  <c r="R42" i="1"/>
  <c r="R47" i="1" s="1"/>
  <c r="R52" i="1" s="1"/>
  <c r="R51" i="1"/>
  <c r="Q81" i="1"/>
  <c r="Q90" i="1"/>
  <c r="P54" i="1"/>
  <c r="P53" i="1"/>
  <c r="T4" i="1"/>
  <c r="T7" i="1" s="1"/>
  <c r="Q77" i="1"/>
  <c r="P55" i="1"/>
  <c r="O76" i="1"/>
  <c r="O89" i="1"/>
  <c r="S7" i="1"/>
  <c r="R69" i="1"/>
  <c r="Q51" i="1"/>
  <c r="Q47" i="1"/>
  <c r="Q52" i="1" s="1"/>
  <c r="K82" i="1"/>
  <c r="K72" i="1"/>
  <c r="L67" i="1" s="1"/>
  <c r="T6" i="1" l="1"/>
  <c r="T8" i="1" s="1"/>
  <c r="T69" i="1" s="1"/>
  <c r="R90" i="1"/>
  <c r="R81" i="1"/>
  <c r="S42" i="1"/>
  <c r="S69" i="1"/>
  <c r="Q55" i="1"/>
  <c r="R77" i="1"/>
  <c r="R55" i="1" s="1"/>
  <c r="P76" i="1"/>
  <c r="P89" i="1"/>
  <c r="R53" i="1"/>
  <c r="R54" i="1"/>
  <c r="Q54" i="1"/>
  <c r="Q53" i="1"/>
  <c r="L70" i="1"/>
  <c r="L69" i="1"/>
  <c r="S77" i="1" l="1"/>
  <c r="S55" i="1" s="1"/>
  <c r="T81" i="1"/>
  <c r="T90" i="1"/>
  <c r="R76" i="1"/>
  <c r="R89" i="1"/>
  <c r="Q76" i="1"/>
  <c r="Q89" i="1"/>
  <c r="S81" i="1"/>
  <c r="S90" i="1"/>
  <c r="S47" i="1"/>
  <c r="S52" i="1" s="1"/>
  <c r="S51" i="1"/>
  <c r="T42" i="1"/>
  <c r="L81" i="1"/>
  <c r="L90" i="1"/>
  <c r="L58" i="1"/>
  <c r="L71" i="1"/>
  <c r="L82" i="1" s="1"/>
  <c r="T77" i="1" l="1"/>
  <c r="T55" i="1" s="1"/>
  <c r="S53" i="1"/>
  <c r="S54" i="1"/>
  <c r="T47" i="1"/>
  <c r="T52" i="1" s="1"/>
  <c r="T51" i="1"/>
  <c r="L72" i="1"/>
  <c r="M67" i="1" s="1"/>
  <c r="M69" i="1" s="1"/>
  <c r="M90" i="1" l="1"/>
  <c r="M81" i="1"/>
  <c r="T53" i="1"/>
  <c r="T54" i="1"/>
  <c r="M70" i="1"/>
  <c r="S76" i="1"/>
  <c r="S89" i="1"/>
  <c r="M58" i="1" l="1"/>
  <c r="M71" i="1"/>
  <c r="M82" i="1" s="1"/>
  <c r="T76" i="1"/>
  <c r="T89" i="1"/>
  <c r="M72" i="1" l="1"/>
  <c r="N67" i="1" s="1"/>
  <c r="N70" i="1" s="1"/>
  <c r="N71" i="1" l="1"/>
  <c r="N58" i="1"/>
  <c r="N82" i="1" l="1"/>
  <c r="N72" i="1"/>
  <c r="O67" i="1" s="1"/>
  <c r="O70" i="1" l="1"/>
  <c r="O58" i="1" l="1"/>
  <c r="O71" i="1"/>
  <c r="O82" i="1" l="1"/>
  <c r="O72" i="1"/>
  <c r="P67" i="1" s="1"/>
  <c r="P70" i="1" l="1"/>
  <c r="P71" i="1" l="1"/>
  <c r="P58" i="1"/>
  <c r="P82" i="1" l="1"/>
  <c r="P72" i="1"/>
  <c r="Q67" i="1" s="1"/>
  <c r="Q70" i="1" l="1"/>
  <c r="Q71" i="1" l="1"/>
  <c r="Q58" i="1"/>
  <c r="Q82" i="1" l="1"/>
  <c r="Q72" i="1"/>
  <c r="R67" i="1" s="1"/>
  <c r="R70" i="1" l="1"/>
  <c r="R58" i="1" l="1"/>
  <c r="R71" i="1"/>
  <c r="R82" i="1" l="1"/>
  <c r="R72" i="1"/>
  <c r="S67" i="1" s="1"/>
  <c r="S70" i="1" l="1"/>
  <c r="S58" i="1" l="1"/>
  <c r="S71" i="1"/>
  <c r="S82" i="1" l="1"/>
  <c r="S72" i="1"/>
  <c r="T67" i="1" s="1"/>
  <c r="T70" i="1" l="1"/>
  <c r="T71" i="1" l="1"/>
  <c r="T82" i="1" s="1"/>
  <c r="T58" i="1"/>
  <c r="T72" i="1" l="1"/>
  <c r="G32" i="1" l="1"/>
  <c r="G33" i="1"/>
  <c r="G37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G93" i="1"/>
  <c r="G94" i="1"/>
  <c r="G101" i="1"/>
  <c r="H107" i="1"/>
</calcChain>
</file>

<file path=xl/sharedStrings.xml><?xml version="1.0" encoding="utf-8"?>
<sst xmlns="http://schemas.openxmlformats.org/spreadsheetml/2006/main" count="131" uniqueCount="72">
  <si>
    <t>Period start</t>
  </si>
  <si>
    <t>Period end</t>
  </si>
  <si>
    <t>Flags</t>
  </si>
  <si>
    <t>Investment period</t>
  </si>
  <si>
    <t>Exit period</t>
  </si>
  <si>
    <t>Active</t>
  </si>
  <si>
    <t>Assumptions</t>
  </si>
  <si>
    <t>date</t>
  </si>
  <si>
    <t>Investment length</t>
  </si>
  <si>
    <t>years</t>
  </si>
  <si>
    <t>Investment exit period</t>
  </si>
  <si>
    <t>Equity investment</t>
  </si>
  <si>
    <t>$m</t>
  </si>
  <si>
    <t>Initial leverage</t>
  </si>
  <si>
    <t>x</t>
  </si>
  <si>
    <t>Initial debt raising</t>
  </si>
  <si>
    <t>Debt interest rate p.a.</t>
  </si>
  <si>
    <t>%</t>
  </si>
  <si>
    <t>Tax rate</t>
  </si>
  <si>
    <t>Terminal multiple LTM</t>
  </si>
  <si>
    <t>Cost of equity</t>
  </si>
  <si>
    <t>Sources &amp; uses</t>
  </si>
  <si>
    <t>Equity</t>
  </si>
  <si>
    <t>Debt</t>
  </si>
  <si>
    <t>Total sources</t>
  </si>
  <si>
    <t>Proceeds to vendor</t>
  </si>
  <si>
    <t>Transaction costs</t>
  </si>
  <si>
    <t>Total uses</t>
  </si>
  <si>
    <t>LTM EBITDA</t>
  </si>
  <si>
    <t>LTM EV/EBITDAx</t>
  </si>
  <si>
    <t>Leverage</t>
  </si>
  <si>
    <t>Revenue</t>
  </si>
  <si>
    <t>Total revenue</t>
  </si>
  <si>
    <t>Revenue growth</t>
  </si>
  <si>
    <t>Operating costs</t>
  </si>
  <si>
    <t>Margin</t>
  </si>
  <si>
    <t>Profit and loss</t>
  </si>
  <si>
    <t>EBITDA</t>
  </si>
  <si>
    <t>EBITDA margin</t>
  </si>
  <si>
    <t>Depreciation</t>
  </si>
  <si>
    <t>Amortisation</t>
  </si>
  <si>
    <t>EBIT</t>
  </si>
  <si>
    <t>Interest expense</t>
  </si>
  <si>
    <t>NPBT</t>
  </si>
  <si>
    <t>Income tax</t>
  </si>
  <si>
    <t>NPAT</t>
  </si>
  <si>
    <t>Repayment schedule</t>
  </si>
  <si>
    <t>Opening balance</t>
  </si>
  <si>
    <t>Drawdowns</t>
  </si>
  <si>
    <t>Repayments</t>
  </si>
  <si>
    <t>Interest paid</t>
  </si>
  <si>
    <t>Closing balance</t>
  </si>
  <si>
    <t>Free cash flow to equity</t>
  </si>
  <si>
    <t>( – ) Capex</t>
  </si>
  <si>
    <t>( – ) Working capital</t>
  </si>
  <si>
    <t>( – ) Tax paid</t>
  </si>
  <si>
    <t>( + ) Debt drawdowns</t>
  </si>
  <si>
    <t>( – ) Debt repayments</t>
  </si>
  <si>
    <t>( – ) Debt interest paid</t>
  </si>
  <si>
    <t>Valuation</t>
  </si>
  <si>
    <t>Equity investment amount</t>
  </si>
  <si>
    <t>Distributions</t>
  </si>
  <si>
    <t>Terminal value</t>
  </si>
  <si>
    <t>Repayment of debt</t>
  </si>
  <si>
    <t>Valuation cash flow</t>
  </si>
  <si>
    <t>NPV</t>
  </si>
  <si>
    <t>IRR</t>
  </si>
  <si>
    <t>Answers</t>
  </si>
  <si>
    <t>Exit Year</t>
  </si>
  <si>
    <t>Exit multiple</t>
  </si>
  <si>
    <t>Senior debt</t>
  </si>
  <si>
    <t>Other considerations for debt are: ongoing ability to service the debt, impact on debt to margin, resiliency to downside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</si>
</sst>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#,##0_)_%;\(#,##0\)_%;_(&quot;–&quot;_)_%;_(@_)_%"/>
    <numFmt numFmtId="165" formatCode="_(#,##0.0_)_%;\(#,##0.0\)_%;_(&quot;–&quot;_)_%;_(@_)_%"/>
    <numFmt numFmtId="168" formatCode="dd\-mmm\-yy;@"/>
    <numFmt numFmtId="169" formatCode="_(0.0\x_)_)_';_(\(0.0\x\)_'_';_(&quot;–&quot;_)_%;_(@_)_%"/>
    <numFmt numFmtId="170" formatCode="_(#,##0.0%_);\(#,##0.0%\);_(&quot;–&quot;_)_%;_(@_)_%"/>
    <numFmt numFmtId="171" formatCode="_(#,##0.00%_);\(#,##0.00%\);_(&quot;–&quot;_)_%;_(@_)_%"/>
    <numFmt numFmtId="172" formatCode=";;;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C0C0C0"/>
      <name val="Arial"/>
      <family val="2"/>
    </font>
    <font>
      <sz val="11"/>
      <color rgb="FFFF000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C0C0C0"/>
      <name val="Arial"/>
      <family val="2"/>
    </font>
    <font>
      <b/>
      <sz val="11"/>
      <color rgb="FFFF0000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i/>
      <sz val="11"/>
      <color rgb="FFC0C0C0"/>
      <name val="Arial"/>
      <family val="2"/>
    </font>
    <font>
      <b/>
      <u val="singleAccounting"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4689"/>
        <bgColor rgb="FF000000"/>
      </patternFill>
    </fill>
    <fill>
      <patternFill patternType="solid">
        <fgColor rgb="FFECF5FB"/>
        <bgColor rgb="FF000000"/>
      </patternFill>
    </fill>
    <fill>
      <patternFill patternType="lightGray">
        <fgColor rgb="FF000000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8" fontId="4" fillId="0" borderId="0" xfId="0" applyNumberFormat="1" applyFont="1"/>
    <xf numFmtId="168" fontId="2" fillId="0" borderId="0" xfId="0" applyNumberFormat="1" applyFont="1"/>
    <xf numFmtId="0" fontId="2" fillId="4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0" fontId="7" fillId="0" borderId="0" xfId="0" applyFont="1"/>
    <xf numFmtId="165" fontId="1" fillId="0" borderId="0" xfId="0" applyNumberFormat="1" applyFont="1"/>
    <xf numFmtId="0" fontId="8" fillId="0" borderId="0" xfId="0" applyFont="1"/>
    <xf numFmtId="169" fontId="2" fillId="0" borderId="0" xfId="0" applyNumberFormat="1" applyFont="1"/>
    <xf numFmtId="165" fontId="6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70" fontId="10" fillId="0" borderId="0" xfId="0" applyNumberFormat="1" applyFont="1" applyAlignment="1">
      <alignment horizontal="right"/>
    </xf>
    <xf numFmtId="165" fontId="2" fillId="4" borderId="0" xfId="0" applyNumberFormat="1" applyFont="1" applyFill="1"/>
    <xf numFmtId="165" fontId="1" fillId="4" borderId="0" xfId="0" applyNumberFormat="1" applyFont="1" applyFill="1"/>
    <xf numFmtId="164" fontId="2" fillId="4" borderId="0" xfId="0" applyNumberFormat="1" applyFont="1" applyFill="1"/>
    <xf numFmtId="0" fontId="1" fillId="4" borderId="0" xfId="0" applyFont="1" applyFill="1"/>
    <xf numFmtId="171" fontId="2" fillId="0" borderId="0" xfId="0" applyNumberFormat="1" applyFont="1"/>
    <xf numFmtId="0" fontId="12" fillId="0" borderId="0" xfId="0" applyFont="1" applyAlignment="1">
      <alignment horizontal="centerContinuous"/>
    </xf>
    <xf numFmtId="172" fontId="6" fillId="0" borderId="0" xfId="0" applyNumberFormat="1" applyFont="1"/>
    <xf numFmtId="0" fontId="5" fillId="0" borderId="0" xfId="0" applyFont="1"/>
    <xf numFmtId="169" fontId="5" fillId="0" borderId="0" xfId="0" applyNumberFormat="1" applyFont="1"/>
    <xf numFmtId="0" fontId="13" fillId="2" borderId="0" xfId="0" applyFont="1" applyFill="1"/>
    <xf numFmtId="0" fontId="14" fillId="2" borderId="0" xfId="0" applyFont="1" applyFill="1"/>
    <xf numFmtId="168" fontId="5" fillId="3" borderId="0" xfId="0" applyNumberFormat="1" applyFont="1" applyFill="1"/>
    <xf numFmtId="164" fontId="5" fillId="3" borderId="0" xfId="0" applyNumberFormat="1" applyFont="1" applyFill="1"/>
    <xf numFmtId="168" fontId="6" fillId="3" borderId="0" xfId="0" applyNumberFormat="1" applyFont="1" applyFill="1"/>
    <xf numFmtId="165" fontId="4" fillId="3" borderId="0" xfId="0" applyNumberFormat="1" applyFont="1" applyFill="1"/>
    <xf numFmtId="169" fontId="5" fillId="3" borderId="0" xfId="0" applyNumberFormat="1" applyFont="1" applyFill="1"/>
    <xf numFmtId="165" fontId="6" fillId="3" borderId="0" xfId="0" applyNumberFormat="1" applyFont="1" applyFill="1"/>
    <xf numFmtId="170" fontId="5" fillId="3" borderId="0" xfId="0" applyNumberFormat="1" applyFont="1" applyFill="1"/>
    <xf numFmtId="165" fontId="5" fillId="3" borderId="0" xfId="0" applyNumberFormat="1" applyFont="1" applyFill="1"/>
    <xf numFmtId="165" fontId="2" fillId="3" borderId="0" xfId="0" applyNumberFormat="1" applyFont="1" applyFill="1"/>
    <xf numFmtId="0" fontId="1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B3E8-7199-453A-A1B1-07F1F4A960D8}">
  <dimension ref="A1:T113"/>
  <sheetViews>
    <sheetView showGridLines="0" tabSelected="1" zoomScaleNormal="10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F19" sqref="A1:XFD1048576"/>
    </sheetView>
  </sheetViews>
  <sheetFormatPr defaultColWidth="8.85546875" defaultRowHeight="15" x14ac:dyDescent="0.25"/>
  <cols>
    <col min="1" max="1" width="8.85546875" style="1" customWidth="1"/>
    <col min="2" max="4" width="7.85546875" style="2" customWidth="1"/>
    <col min="5" max="5" width="7.85546875" style="3" customWidth="1"/>
    <col min="6" max="6" width="17.140625" style="4" customWidth="1"/>
    <col min="7" max="20" width="12.28515625" style="2" customWidth="1"/>
    <col min="21" max="21" width="8.85546875" style="2" customWidth="1"/>
    <col min="22" max="16384" width="8.85546875" style="2"/>
  </cols>
  <sheetData>
    <row r="1" spans="1:20" s="29" customFormat="1" x14ac:dyDescent="0.25">
      <c r="A1" s="28" t="s">
        <v>2</v>
      </c>
      <c r="F1" s="39"/>
    </row>
    <row r="2" spans="1:20" x14ac:dyDescent="0.25">
      <c r="F2" s="40"/>
    </row>
    <row r="3" spans="1:20" x14ac:dyDescent="0.25">
      <c r="B3" s="2" t="s">
        <v>0</v>
      </c>
      <c r="F3" s="40"/>
      <c r="G3" s="4"/>
      <c r="H3" s="5">
        <f>+$G$12</f>
        <v>46023</v>
      </c>
      <c r="I3" s="6">
        <f>+H4+1</f>
        <v>46388</v>
      </c>
      <c r="J3" s="6">
        <f>+I4+1</f>
        <v>46753</v>
      </c>
      <c r="K3" s="6">
        <f>+J4+1</f>
        <v>47119</v>
      </c>
      <c r="L3" s="6">
        <f>+K4+1</f>
        <v>47484</v>
      </c>
      <c r="M3" s="6">
        <f t="shared" ref="M3:T3" si="0">+L4+1</f>
        <v>47849</v>
      </c>
      <c r="N3" s="6">
        <f t="shared" si="0"/>
        <v>48214</v>
      </c>
      <c r="O3" s="6">
        <f t="shared" si="0"/>
        <v>48580</v>
      </c>
      <c r="P3" s="6">
        <f t="shared" si="0"/>
        <v>48945</v>
      </c>
      <c r="Q3" s="6">
        <f t="shared" si="0"/>
        <v>49310</v>
      </c>
      <c r="R3" s="6">
        <f t="shared" si="0"/>
        <v>49675</v>
      </c>
      <c r="S3" s="6">
        <f t="shared" si="0"/>
        <v>50041</v>
      </c>
      <c r="T3" s="6">
        <f t="shared" si="0"/>
        <v>50406</v>
      </c>
    </row>
    <row r="4" spans="1:20" ht="14.65" customHeight="1" x14ac:dyDescent="0.25">
      <c r="B4" s="2" t="s">
        <v>1</v>
      </c>
      <c r="F4" s="40"/>
      <c r="G4" s="5">
        <f>+$G$12</f>
        <v>46023</v>
      </c>
      <c r="H4" s="6">
        <f>+EOMONTH(H3,11)</f>
        <v>46387</v>
      </c>
      <c r="I4" s="6">
        <f>+EOMONTH(I3,11)</f>
        <v>46752</v>
      </c>
      <c r="J4" s="6">
        <f>+EOMONTH(J3,11)</f>
        <v>47118</v>
      </c>
      <c r="K4" s="6">
        <f>+EOMONTH(K3,11)</f>
        <v>47483</v>
      </c>
      <c r="L4" s="6">
        <f>+EOMONTH(L3,11)</f>
        <v>47848</v>
      </c>
      <c r="M4" s="6">
        <f t="shared" ref="M4:T4" si="1">+EOMONTH(M3,11)</f>
        <v>48213</v>
      </c>
      <c r="N4" s="6">
        <f t="shared" si="1"/>
        <v>48579</v>
      </c>
      <c r="O4" s="6">
        <f t="shared" si="1"/>
        <v>48944</v>
      </c>
      <c r="P4" s="6">
        <f t="shared" si="1"/>
        <v>49309</v>
      </c>
      <c r="Q4" s="6">
        <f t="shared" si="1"/>
        <v>49674</v>
      </c>
      <c r="R4" s="6">
        <f t="shared" si="1"/>
        <v>50040</v>
      </c>
      <c r="S4" s="6">
        <f t="shared" si="1"/>
        <v>50405</v>
      </c>
      <c r="T4" s="6">
        <f t="shared" si="1"/>
        <v>50770</v>
      </c>
    </row>
    <row r="5" spans="1:20" x14ac:dyDescent="0.25">
      <c r="F5" s="40"/>
    </row>
    <row r="6" spans="1:20" x14ac:dyDescent="0.25">
      <c r="B6" s="2" t="s">
        <v>3</v>
      </c>
      <c r="F6" s="40"/>
      <c r="G6" s="7"/>
      <c r="H6" s="8">
        <f>+IF(AND(G12&gt;=H$3,G12&lt;=H$4),1,0)</f>
        <v>1</v>
      </c>
      <c r="I6" s="8">
        <f t="shared" ref="I6:L6" si="2">+IF(AND(H12&gt;=I$3,H12&lt;=I$4),1,0)</f>
        <v>0</v>
      </c>
      <c r="J6" s="8">
        <f t="shared" si="2"/>
        <v>0</v>
      </c>
      <c r="K6" s="8">
        <f t="shared" si="2"/>
        <v>0</v>
      </c>
      <c r="L6" s="8">
        <f t="shared" si="2"/>
        <v>0</v>
      </c>
      <c r="M6" s="8">
        <f t="shared" ref="M6" si="3">+IF(AND(L12&gt;=M$3,L12&lt;=M$4),1,0)</f>
        <v>0</v>
      </c>
      <c r="N6" s="8">
        <f t="shared" ref="N6" si="4">+IF(AND(M12&gt;=N$3,M12&lt;=N$4),1,0)</f>
        <v>0</v>
      </c>
      <c r="O6" s="8">
        <f t="shared" ref="O6" si="5">+IF(AND(N12&gt;=O$3,N12&lt;=O$4),1,0)</f>
        <v>0</v>
      </c>
      <c r="P6" s="8">
        <f t="shared" ref="P6" si="6">+IF(AND(O12&gt;=P$3,O12&lt;=P$4),1,0)</f>
        <v>0</v>
      </c>
      <c r="Q6" s="8">
        <f t="shared" ref="Q6" si="7">+IF(AND(P12&gt;=Q$3,P12&lt;=Q$4),1,0)</f>
        <v>0</v>
      </c>
      <c r="R6" s="8">
        <f t="shared" ref="R6" si="8">+IF(AND(Q12&gt;=R$3,Q12&lt;=R$4),1,0)</f>
        <v>0</v>
      </c>
      <c r="S6" s="8">
        <f t="shared" ref="S6" si="9">+IF(AND(R12&gt;=S$3,R12&lt;=S$4),1,0)</f>
        <v>0</v>
      </c>
      <c r="T6" s="8">
        <f t="shared" ref="T6" si="10">+IF(AND(S12&gt;=T$3,S12&lt;=T$4),1,0)</f>
        <v>0</v>
      </c>
    </row>
    <row r="7" spans="1:20" x14ac:dyDescent="0.25">
      <c r="B7" s="2" t="s">
        <v>4</v>
      </c>
      <c r="F7" s="40"/>
      <c r="G7" s="7"/>
      <c r="H7" s="8">
        <f>+IF(AND($G14&gt;=H$3,$G14&lt;=H$4),1,0)</f>
        <v>0</v>
      </c>
      <c r="I7" s="8">
        <f t="shared" ref="I7:L7" si="11">+IF(AND($G14&gt;=I$3,$G14&lt;=I$4),1,0)</f>
        <v>0</v>
      </c>
      <c r="J7" s="8">
        <f t="shared" si="11"/>
        <v>0</v>
      </c>
      <c r="K7" s="8">
        <f t="shared" si="11"/>
        <v>0</v>
      </c>
      <c r="L7" s="8">
        <f t="shared" si="11"/>
        <v>1</v>
      </c>
      <c r="M7" s="8">
        <f t="shared" ref="M7:T7" si="12">+IF(AND($G14&gt;=M$3,$G14&lt;=M$4),1,0)</f>
        <v>0</v>
      </c>
      <c r="N7" s="8">
        <f t="shared" si="12"/>
        <v>0</v>
      </c>
      <c r="O7" s="8">
        <f t="shared" si="12"/>
        <v>0</v>
      </c>
      <c r="P7" s="8">
        <f t="shared" si="12"/>
        <v>0</v>
      </c>
      <c r="Q7" s="8">
        <f t="shared" si="12"/>
        <v>0</v>
      </c>
      <c r="R7" s="8">
        <f t="shared" si="12"/>
        <v>0</v>
      </c>
      <c r="S7" s="8">
        <f t="shared" si="12"/>
        <v>0</v>
      </c>
      <c r="T7" s="8">
        <f t="shared" si="12"/>
        <v>0</v>
      </c>
    </row>
    <row r="8" spans="1:20" x14ac:dyDescent="0.25">
      <c r="B8" s="2" t="s">
        <v>5</v>
      </c>
      <c r="F8" s="40"/>
      <c r="H8" s="8">
        <f>+IF(AND(SUM($G6:H6)&gt;0,SUM($G7:G7)=0),1,0)</f>
        <v>1</v>
      </c>
      <c r="I8" s="8">
        <f>+IF(AND(SUM($G6:I6)&gt;0,SUM($G7:H7)=0),1,0)</f>
        <v>1</v>
      </c>
      <c r="J8" s="8">
        <f>+IF(AND(SUM($G6:J6)&gt;0,SUM($G7:I7)=0),1,0)</f>
        <v>1</v>
      </c>
      <c r="K8" s="8">
        <f>+IF(AND(SUM($G6:K6)&gt;0,SUM($G7:J7)=0),1,0)</f>
        <v>1</v>
      </c>
      <c r="L8" s="8">
        <f>+IF(AND(SUM($G6:L6)&gt;0,SUM($G7:K7)=0),1,0)</f>
        <v>1</v>
      </c>
      <c r="M8" s="8">
        <f>+IF(AND(SUM($G6:M6)&gt;0,SUM($G7:L7)=0),1,0)</f>
        <v>0</v>
      </c>
      <c r="N8" s="8">
        <f>+IF(AND(SUM($G6:N6)&gt;0,SUM($G7:M7)=0),1,0)</f>
        <v>0</v>
      </c>
      <c r="O8" s="8">
        <f>+IF(AND(SUM($G6:O6)&gt;0,SUM($G7:N7)=0),1,0)</f>
        <v>0</v>
      </c>
      <c r="P8" s="8">
        <f>+IF(AND(SUM($G6:P6)&gt;0,SUM($G7:O7)=0),1,0)</f>
        <v>0</v>
      </c>
      <c r="Q8" s="8">
        <f>+IF(AND(SUM($G6:Q6)&gt;0,SUM($G7:P7)=0),1,0)</f>
        <v>0</v>
      </c>
      <c r="R8" s="8">
        <f>+IF(AND(SUM($G6:R6)&gt;0,SUM($G7:Q7)=0),1,0)</f>
        <v>0</v>
      </c>
      <c r="S8" s="8">
        <f>+IF(AND(SUM($G6:S6)&gt;0,SUM($G7:R7)=0),1,0)</f>
        <v>0</v>
      </c>
      <c r="T8" s="8">
        <f>+IF(AND(SUM($G6:T6)&gt;0,SUM($G7:S7)=0),1,0)</f>
        <v>0</v>
      </c>
    </row>
    <row r="9" spans="1:20" x14ac:dyDescent="0.25">
      <c r="F9" s="40"/>
    </row>
    <row r="10" spans="1:20" s="29" customFormat="1" x14ac:dyDescent="0.25">
      <c r="A10" s="28" t="s">
        <v>6</v>
      </c>
      <c r="F10" s="39"/>
    </row>
    <row r="11" spans="1:20" x14ac:dyDescent="0.25">
      <c r="F11" s="40"/>
    </row>
    <row r="12" spans="1:20" x14ac:dyDescent="0.25">
      <c r="B12" s="2" t="s">
        <v>3</v>
      </c>
      <c r="F12" s="40" t="s">
        <v>7</v>
      </c>
      <c r="G12" s="30">
        <v>46023</v>
      </c>
    </row>
    <row r="13" spans="1:20" x14ac:dyDescent="0.25">
      <c r="B13" s="2" t="s">
        <v>8</v>
      </c>
      <c r="F13" s="40" t="s">
        <v>9</v>
      </c>
      <c r="G13" s="31">
        <v>5</v>
      </c>
    </row>
    <row r="14" spans="1:20" x14ac:dyDescent="0.25">
      <c r="B14" s="2" t="s">
        <v>10</v>
      </c>
      <c r="F14" s="40" t="s">
        <v>7</v>
      </c>
      <c r="G14" s="32">
        <f>+EDATE(G12,G13*12)-1</f>
        <v>47848</v>
      </c>
    </row>
    <row r="15" spans="1:20" x14ac:dyDescent="0.25">
      <c r="F15" s="40"/>
    </row>
    <row r="16" spans="1:20" x14ac:dyDescent="0.25">
      <c r="B16" s="2" t="s">
        <v>11</v>
      </c>
      <c r="F16" s="40" t="s">
        <v>12</v>
      </c>
      <c r="G16" s="33">
        <f>150*102%-G18</f>
        <v>78</v>
      </c>
    </row>
    <row r="17" spans="1:7" x14ac:dyDescent="0.25">
      <c r="B17" s="2" t="s">
        <v>13</v>
      </c>
      <c r="F17" s="40" t="s">
        <v>14</v>
      </c>
      <c r="G17" s="34">
        <v>2.5</v>
      </c>
    </row>
    <row r="18" spans="1:7" x14ac:dyDescent="0.25">
      <c r="B18" s="2" t="s">
        <v>15</v>
      </c>
      <c r="F18" s="40" t="s">
        <v>12</v>
      </c>
      <c r="G18" s="35">
        <f>+$G$17*$G$53</f>
        <v>75</v>
      </c>
    </row>
    <row r="19" spans="1:7" x14ac:dyDescent="0.25">
      <c r="B19" s="2" t="s">
        <v>16</v>
      </c>
      <c r="F19" s="40" t="s">
        <v>17</v>
      </c>
      <c r="G19" s="36">
        <v>7.0000000000000007E-2</v>
      </c>
    </row>
    <row r="20" spans="1:7" x14ac:dyDescent="0.25">
      <c r="F20" s="40"/>
    </row>
    <row r="21" spans="1:7" x14ac:dyDescent="0.25">
      <c r="B21" s="2" t="s">
        <v>18</v>
      </c>
      <c r="F21" s="40" t="s">
        <v>17</v>
      </c>
      <c r="G21" s="36">
        <v>0.3</v>
      </c>
    </row>
    <row r="22" spans="1:7" x14ac:dyDescent="0.25">
      <c r="F22" s="40"/>
    </row>
    <row r="23" spans="1:7" x14ac:dyDescent="0.25">
      <c r="B23" s="2" t="s">
        <v>19</v>
      </c>
      <c r="F23" s="40" t="s">
        <v>14</v>
      </c>
      <c r="G23" s="34">
        <v>5</v>
      </c>
    </row>
    <row r="24" spans="1:7" x14ac:dyDescent="0.25">
      <c r="B24" s="2" t="s">
        <v>20</v>
      </c>
      <c r="F24" s="40" t="s">
        <v>17</v>
      </c>
      <c r="G24" s="36">
        <v>0.20303942561149599</v>
      </c>
    </row>
    <row r="25" spans="1:7" x14ac:dyDescent="0.25">
      <c r="F25" s="40"/>
    </row>
    <row r="26" spans="1:7" s="29" customFormat="1" x14ac:dyDescent="0.25">
      <c r="A26" s="28" t="s">
        <v>21</v>
      </c>
      <c r="F26" s="39"/>
    </row>
    <row r="27" spans="1:7" x14ac:dyDescent="0.25">
      <c r="F27" s="40"/>
    </row>
    <row r="28" spans="1:7" x14ac:dyDescent="0.25">
      <c r="B28" s="2" t="s">
        <v>22</v>
      </c>
      <c r="F28" s="40" t="s">
        <v>12</v>
      </c>
      <c r="G28" s="9">
        <f>+G16</f>
        <v>78</v>
      </c>
    </row>
    <row r="29" spans="1:7" x14ac:dyDescent="0.25">
      <c r="B29" s="2" t="s">
        <v>23</v>
      </c>
      <c r="F29" s="40" t="s">
        <v>12</v>
      </c>
      <c r="G29" s="9">
        <f>+G18</f>
        <v>75</v>
      </c>
    </row>
    <row r="30" spans="1:7" x14ac:dyDescent="0.25">
      <c r="B30" s="1" t="s">
        <v>24</v>
      </c>
      <c r="E30" s="10"/>
      <c r="F30" s="41" t="s">
        <v>12</v>
      </c>
      <c r="G30" s="11">
        <f>SUM(G28:G29)</f>
        <v>153</v>
      </c>
    </row>
    <row r="31" spans="1:7" x14ac:dyDescent="0.25">
      <c r="F31" s="40"/>
      <c r="G31" s="9"/>
    </row>
    <row r="32" spans="1:7" x14ac:dyDescent="0.25">
      <c r="B32" s="2" t="s">
        <v>25</v>
      </c>
      <c r="F32" s="40" t="s">
        <v>12</v>
      </c>
      <c r="G32" s="9">
        <f ca="1">+G34-G33</f>
        <v>150</v>
      </c>
    </row>
    <row r="33" spans="1:20" x14ac:dyDescent="0.25">
      <c r="B33" s="2" t="s">
        <v>26</v>
      </c>
      <c r="F33" s="40" t="s">
        <v>12</v>
      </c>
      <c r="G33" s="33">
        <f ca="1">+G32*2%</f>
        <v>3</v>
      </c>
    </row>
    <row r="34" spans="1:20" x14ac:dyDescent="0.25">
      <c r="B34" s="1" t="s">
        <v>27</v>
      </c>
      <c r="E34" s="10"/>
      <c r="F34" s="41" t="s">
        <v>12</v>
      </c>
      <c r="G34" s="11">
        <f>+G30</f>
        <v>153</v>
      </c>
    </row>
    <row r="35" spans="1:20" x14ac:dyDescent="0.25">
      <c r="B35" s="1"/>
      <c r="E35" s="10"/>
      <c r="F35" s="41"/>
      <c r="G35" s="11"/>
    </row>
    <row r="36" spans="1:20" x14ac:dyDescent="0.25">
      <c r="A36" s="12"/>
      <c r="B36" s="2" t="s">
        <v>28</v>
      </c>
      <c r="F36" s="40" t="s">
        <v>12</v>
      </c>
      <c r="G36" s="9">
        <f>+G53</f>
        <v>30</v>
      </c>
    </row>
    <row r="37" spans="1:20" x14ac:dyDescent="0.25">
      <c r="A37" s="12"/>
      <c r="B37" s="2" t="s">
        <v>29</v>
      </c>
      <c r="F37" s="40" t="s">
        <v>14</v>
      </c>
      <c r="G37" s="13">
        <f ca="1">+G32/G36</f>
        <v>5</v>
      </c>
    </row>
    <row r="38" spans="1:20" x14ac:dyDescent="0.25">
      <c r="B38" s="2" t="s">
        <v>30</v>
      </c>
      <c r="F38" s="40" t="s">
        <v>14</v>
      </c>
      <c r="G38" s="13">
        <f>+G29/G36</f>
        <v>2.5</v>
      </c>
    </row>
    <row r="39" spans="1:20" x14ac:dyDescent="0.25">
      <c r="F39" s="40"/>
    </row>
    <row r="40" spans="1:20" s="29" customFormat="1" x14ac:dyDescent="0.25">
      <c r="A40" s="28" t="s">
        <v>31</v>
      </c>
      <c r="F40" s="39"/>
    </row>
    <row r="41" spans="1:20" x14ac:dyDescent="0.25">
      <c r="F41" s="40"/>
    </row>
    <row r="42" spans="1:20" x14ac:dyDescent="0.25">
      <c r="B42" s="2" t="s">
        <v>32</v>
      </c>
      <c r="F42" s="40" t="s">
        <v>12</v>
      </c>
      <c r="G42" s="37">
        <v>100</v>
      </c>
      <c r="H42" s="14">
        <f>+H$8*G42*(1+$G$43)</f>
        <v>105</v>
      </c>
      <c r="I42" s="14">
        <f>+I$8*H42*(1+$G$43)</f>
        <v>110.25</v>
      </c>
      <c r="J42" s="14">
        <f>+J$8*I42*(1+$G$43)</f>
        <v>115.7625</v>
      </c>
      <c r="K42" s="14">
        <f>+K$8*J42*(1+$G$43)</f>
        <v>121.55062500000001</v>
      </c>
      <c r="L42" s="14">
        <f>+L$8*K42*(1+$G$43)</f>
        <v>127.62815625000002</v>
      </c>
      <c r="M42" s="14">
        <f t="shared" ref="M42:T42" si="13">+M$8*L42*(1+$G$43)</f>
        <v>0</v>
      </c>
      <c r="N42" s="14">
        <f t="shared" si="13"/>
        <v>0</v>
      </c>
      <c r="O42" s="14">
        <f t="shared" si="13"/>
        <v>0</v>
      </c>
      <c r="P42" s="14">
        <f t="shared" si="13"/>
        <v>0</v>
      </c>
      <c r="Q42" s="14">
        <f t="shared" si="13"/>
        <v>0</v>
      </c>
      <c r="R42" s="14">
        <f t="shared" si="13"/>
        <v>0</v>
      </c>
      <c r="S42" s="14">
        <f t="shared" si="13"/>
        <v>0</v>
      </c>
      <c r="T42" s="14">
        <f t="shared" si="13"/>
        <v>0</v>
      </c>
    </row>
    <row r="43" spans="1:20" x14ac:dyDescent="0.25">
      <c r="B43" s="2" t="s">
        <v>33</v>
      </c>
      <c r="F43" s="40" t="s">
        <v>17</v>
      </c>
      <c r="G43" s="36">
        <v>0.05</v>
      </c>
      <c r="H43" s="36">
        <v>7.0000000000000007E-2</v>
      </c>
      <c r="I43" s="36">
        <v>7.0000000000000007E-2</v>
      </c>
      <c r="J43" s="36">
        <v>7.0000000000000007E-2</v>
      </c>
      <c r="K43" s="36">
        <v>7.0000000000000007E-2</v>
      </c>
      <c r="L43" s="36">
        <v>7.0000000000000007E-2</v>
      </c>
      <c r="M43" s="36">
        <v>7.0000000000000007E-2</v>
      </c>
      <c r="N43" s="36">
        <v>7.0000000000000007E-2</v>
      </c>
      <c r="O43" s="36">
        <v>7.0000000000000007E-2</v>
      </c>
      <c r="P43" s="36">
        <v>7.0000000000000007E-2</v>
      </c>
      <c r="Q43" s="36">
        <v>7.0000000000000007E-2</v>
      </c>
      <c r="R43" s="36">
        <v>7.0000000000000007E-2</v>
      </c>
      <c r="S43" s="36">
        <v>7.0000000000000007E-2</v>
      </c>
      <c r="T43" s="36">
        <v>7.0000000000000007E-2</v>
      </c>
    </row>
    <row r="44" spans="1:20" x14ac:dyDescent="0.25">
      <c r="F44" s="40"/>
    </row>
    <row r="45" spans="1:20" s="29" customFormat="1" x14ac:dyDescent="0.25">
      <c r="A45" s="28" t="s">
        <v>34</v>
      </c>
      <c r="F45" s="39"/>
    </row>
    <row r="46" spans="1:20" x14ac:dyDescent="0.25">
      <c r="F46" s="40"/>
    </row>
    <row r="47" spans="1:20" x14ac:dyDescent="0.25">
      <c r="B47" s="2" t="s">
        <v>34</v>
      </c>
      <c r="F47" s="40" t="s">
        <v>12</v>
      </c>
      <c r="G47" s="14">
        <f t="shared" ref="G47:L47" si="14">+G42*G48-G42</f>
        <v>-70</v>
      </c>
      <c r="H47" s="14">
        <f t="shared" si="14"/>
        <v>-71.400000000000006</v>
      </c>
      <c r="I47" s="14">
        <f t="shared" si="14"/>
        <v>-72.765000000000001</v>
      </c>
      <c r="J47" s="14">
        <f t="shared" si="14"/>
        <v>-74.087999999999994</v>
      </c>
      <c r="K47" s="14">
        <f t="shared" si="14"/>
        <v>-75.361387500000006</v>
      </c>
      <c r="L47" s="14">
        <f t="shared" si="14"/>
        <v>-76.576893750000011</v>
      </c>
      <c r="M47" s="14">
        <f t="shared" ref="M47" si="15">+M42*M48-M42</f>
        <v>0</v>
      </c>
      <c r="N47" s="14">
        <f t="shared" ref="N47" si="16">+N42*N48-N42</f>
        <v>0</v>
      </c>
      <c r="O47" s="14">
        <f t="shared" ref="O47" si="17">+O42*O48-O42</f>
        <v>0</v>
      </c>
      <c r="P47" s="14">
        <f t="shared" ref="P47" si="18">+P42*P48-P42</f>
        <v>0</v>
      </c>
      <c r="Q47" s="14">
        <f t="shared" ref="Q47" si="19">+Q42*Q48-Q42</f>
        <v>0</v>
      </c>
      <c r="R47" s="14">
        <f t="shared" ref="R47" si="20">+R42*R48-R42</f>
        <v>0</v>
      </c>
      <c r="S47" s="14">
        <f t="shared" ref="S47" si="21">+S42*S48-S42</f>
        <v>0</v>
      </c>
      <c r="T47" s="14">
        <f t="shared" ref="T47" si="22">+T42*T48-T42</f>
        <v>0</v>
      </c>
    </row>
    <row r="48" spans="1:20" x14ac:dyDescent="0.25">
      <c r="B48" s="2" t="s">
        <v>35</v>
      </c>
      <c r="F48" s="40" t="s">
        <v>17</v>
      </c>
      <c r="G48" s="36">
        <v>0.3</v>
      </c>
      <c r="H48" s="36">
        <v>0.32</v>
      </c>
      <c r="I48" s="36">
        <f>+H48+2%</f>
        <v>0.34</v>
      </c>
      <c r="J48" s="36">
        <f>+I48+2%</f>
        <v>0.36000000000000004</v>
      </c>
      <c r="K48" s="36">
        <f>+J48+2%</f>
        <v>0.38000000000000006</v>
      </c>
      <c r="L48" s="36">
        <f>+K48+2%</f>
        <v>0.40000000000000008</v>
      </c>
      <c r="M48" s="36">
        <f t="shared" ref="M48:T48" si="23">+L48+2%</f>
        <v>0.4200000000000001</v>
      </c>
      <c r="N48" s="36">
        <f t="shared" si="23"/>
        <v>0.44000000000000011</v>
      </c>
      <c r="O48" s="36">
        <f t="shared" si="23"/>
        <v>0.46000000000000013</v>
      </c>
      <c r="P48" s="36">
        <f t="shared" si="23"/>
        <v>0.48000000000000015</v>
      </c>
      <c r="Q48" s="36">
        <f t="shared" si="23"/>
        <v>0.50000000000000011</v>
      </c>
      <c r="R48" s="36">
        <f t="shared" si="23"/>
        <v>0.52000000000000013</v>
      </c>
      <c r="S48" s="36">
        <f t="shared" si="23"/>
        <v>0.54000000000000015</v>
      </c>
      <c r="T48" s="36">
        <f t="shared" si="23"/>
        <v>0.56000000000000016</v>
      </c>
    </row>
    <row r="49" spans="1:20" x14ac:dyDescent="0.25">
      <c r="F49" s="40"/>
    </row>
    <row r="50" spans="1:20" s="29" customFormat="1" x14ac:dyDescent="0.25">
      <c r="A50" s="28" t="s">
        <v>36</v>
      </c>
      <c r="F50" s="39"/>
    </row>
    <row r="51" spans="1:20" x14ac:dyDescent="0.25">
      <c r="B51" s="2" t="s">
        <v>32</v>
      </c>
      <c r="F51" s="40" t="s">
        <v>12</v>
      </c>
      <c r="G51" s="9">
        <f t="shared" ref="G51:L51" si="24">+G42</f>
        <v>100</v>
      </c>
      <c r="H51" s="9">
        <f t="shared" si="24"/>
        <v>105</v>
      </c>
      <c r="I51" s="9">
        <f t="shared" si="24"/>
        <v>110.25</v>
      </c>
      <c r="J51" s="9">
        <f t="shared" si="24"/>
        <v>115.7625</v>
      </c>
      <c r="K51" s="9">
        <f t="shared" si="24"/>
        <v>121.55062500000001</v>
      </c>
      <c r="L51" s="9">
        <f t="shared" si="24"/>
        <v>127.62815625000002</v>
      </c>
      <c r="M51" s="9">
        <f t="shared" ref="M51:T51" si="25">+M42</f>
        <v>0</v>
      </c>
      <c r="N51" s="9">
        <f t="shared" si="25"/>
        <v>0</v>
      </c>
      <c r="O51" s="9">
        <f t="shared" si="25"/>
        <v>0</v>
      </c>
      <c r="P51" s="9">
        <f t="shared" si="25"/>
        <v>0</v>
      </c>
      <c r="Q51" s="9">
        <f t="shared" si="25"/>
        <v>0</v>
      </c>
      <c r="R51" s="9">
        <f t="shared" si="25"/>
        <v>0</v>
      </c>
      <c r="S51" s="9">
        <f t="shared" si="25"/>
        <v>0</v>
      </c>
      <c r="T51" s="9">
        <f t="shared" si="25"/>
        <v>0</v>
      </c>
    </row>
    <row r="52" spans="1:20" x14ac:dyDescent="0.25">
      <c r="B52" s="2" t="s">
        <v>34</v>
      </c>
      <c r="F52" s="40" t="s">
        <v>12</v>
      </c>
      <c r="G52" s="9">
        <f t="shared" ref="G52:L52" si="26">+G47</f>
        <v>-70</v>
      </c>
      <c r="H52" s="9">
        <f t="shared" si="26"/>
        <v>-71.400000000000006</v>
      </c>
      <c r="I52" s="9">
        <f t="shared" si="26"/>
        <v>-72.765000000000001</v>
      </c>
      <c r="J52" s="9">
        <f t="shared" si="26"/>
        <v>-74.087999999999994</v>
      </c>
      <c r="K52" s="9">
        <f t="shared" si="26"/>
        <v>-75.361387500000006</v>
      </c>
      <c r="L52" s="9">
        <f t="shared" si="26"/>
        <v>-76.576893750000011</v>
      </c>
      <c r="M52" s="9">
        <f t="shared" ref="M52:T52" si="27">+M47</f>
        <v>0</v>
      </c>
      <c r="N52" s="9">
        <f t="shared" si="27"/>
        <v>0</v>
      </c>
      <c r="O52" s="9">
        <f t="shared" si="27"/>
        <v>0</v>
      </c>
      <c r="P52" s="9">
        <f t="shared" si="27"/>
        <v>0</v>
      </c>
      <c r="Q52" s="9">
        <f t="shared" si="27"/>
        <v>0</v>
      </c>
      <c r="R52" s="9">
        <f t="shared" si="27"/>
        <v>0</v>
      </c>
      <c r="S52" s="9">
        <f t="shared" si="27"/>
        <v>0</v>
      </c>
      <c r="T52" s="9">
        <f t="shared" si="27"/>
        <v>0</v>
      </c>
    </row>
    <row r="53" spans="1:20" s="1" customFormat="1" x14ac:dyDescent="0.25">
      <c r="B53" s="1" t="s">
        <v>37</v>
      </c>
      <c r="E53" s="10"/>
      <c r="F53" s="40" t="s">
        <v>12</v>
      </c>
      <c r="G53" s="11">
        <f t="shared" ref="G53:L53" si="28">SUM(G51:G52)</f>
        <v>30</v>
      </c>
      <c r="H53" s="11">
        <f t="shared" si="28"/>
        <v>33.599999999999994</v>
      </c>
      <c r="I53" s="11">
        <f t="shared" si="28"/>
        <v>37.484999999999999</v>
      </c>
      <c r="J53" s="11">
        <f t="shared" si="28"/>
        <v>41.674500000000009</v>
      </c>
      <c r="K53" s="11">
        <f t="shared" si="28"/>
        <v>46.189237500000004</v>
      </c>
      <c r="L53" s="11">
        <f t="shared" si="28"/>
        <v>51.051262500000007</v>
      </c>
      <c r="M53" s="11">
        <f t="shared" ref="M53" si="29">SUM(M51:M52)</f>
        <v>0</v>
      </c>
      <c r="N53" s="11">
        <f t="shared" ref="N53" si="30">SUM(N51:N52)</f>
        <v>0</v>
      </c>
      <c r="O53" s="11">
        <f t="shared" ref="O53" si="31">SUM(O51:O52)</f>
        <v>0</v>
      </c>
      <c r="P53" s="11">
        <f t="shared" ref="P53" si="32">SUM(P51:P52)</f>
        <v>0</v>
      </c>
      <c r="Q53" s="11">
        <f t="shared" ref="Q53" si="33">SUM(Q51:Q52)</f>
        <v>0</v>
      </c>
      <c r="R53" s="11">
        <f t="shared" ref="R53" si="34">SUM(R51:R52)</f>
        <v>0</v>
      </c>
      <c r="S53" s="11">
        <f t="shared" ref="S53" si="35">SUM(S51:S52)</f>
        <v>0</v>
      </c>
      <c r="T53" s="11">
        <f t="shared" ref="T53" si="36">SUM(T51:T52)</f>
        <v>0</v>
      </c>
    </row>
    <row r="54" spans="1:20" s="16" customFormat="1" ht="14.25" x14ac:dyDescent="0.2">
      <c r="A54" s="15"/>
      <c r="B54" s="16" t="s">
        <v>38</v>
      </c>
      <c r="E54" s="17"/>
      <c r="F54" s="40" t="s">
        <v>12</v>
      </c>
      <c r="G54" s="18">
        <f t="shared" ref="G54:L54" si="37">+IF(G51=0,0,G53/G51)</f>
        <v>0.3</v>
      </c>
      <c r="H54" s="18">
        <f t="shared" si="37"/>
        <v>0.31999999999999995</v>
      </c>
      <c r="I54" s="18">
        <f t="shared" si="37"/>
        <v>0.33999999999999997</v>
      </c>
      <c r="J54" s="18">
        <f t="shared" si="37"/>
        <v>0.36000000000000004</v>
      </c>
      <c r="K54" s="18">
        <f t="shared" si="37"/>
        <v>0.38</v>
      </c>
      <c r="L54" s="18">
        <f t="shared" si="37"/>
        <v>0.4</v>
      </c>
      <c r="M54" s="18">
        <f t="shared" ref="M54" si="38">+IF(M51=0,0,M53/M51)</f>
        <v>0</v>
      </c>
      <c r="N54" s="18">
        <f t="shared" ref="N54" si="39">+IF(N51=0,0,N53/N51)</f>
        <v>0</v>
      </c>
      <c r="O54" s="18">
        <f t="shared" ref="O54" si="40">+IF(O51=0,0,O53/O51)</f>
        <v>0</v>
      </c>
      <c r="P54" s="18">
        <f t="shared" ref="P54" si="41">+IF(P51=0,0,P53/P51)</f>
        <v>0</v>
      </c>
      <c r="Q54" s="18">
        <f t="shared" ref="Q54" si="42">+IF(Q51=0,0,Q53/Q51)</f>
        <v>0</v>
      </c>
      <c r="R54" s="18">
        <f t="shared" ref="R54" si="43">+IF(R51=0,0,R53/R51)</f>
        <v>0</v>
      </c>
      <c r="S54" s="18">
        <f t="shared" ref="S54" si="44">+IF(S51=0,0,S53/S51)</f>
        <v>0</v>
      </c>
      <c r="T54" s="18">
        <f t="shared" ref="T54" si="45">+IF(T51=0,0,T53/T51)</f>
        <v>0</v>
      </c>
    </row>
    <row r="55" spans="1:20" x14ac:dyDescent="0.25">
      <c r="B55" s="2" t="s">
        <v>39</v>
      </c>
      <c r="F55" s="40" t="s">
        <v>12</v>
      </c>
      <c r="G55" s="19"/>
      <c r="H55" s="9">
        <f>+H77</f>
        <v>-10</v>
      </c>
      <c r="I55" s="9">
        <f>+I77</f>
        <v>-10</v>
      </c>
      <c r="J55" s="9">
        <f>+J77</f>
        <v>-10</v>
      </c>
      <c r="K55" s="9">
        <f>+K77</f>
        <v>-10</v>
      </c>
      <c r="L55" s="9">
        <f>+L77</f>
        <v>-10</v>
      </c>
      <c r="M55" s="9">
        <f t="shared" ref="M55:T55" si="46">+M77</f>
        <v>0</v>
      </c>
      <c r="N55" s="9">
        <f t="shared" si="46"/>
        <v>0</v>
      </c>
      <c r="O55" s="9">
        <f t="shared" si="46"/>
        <v>0</v>
      </c>
      <c r="P55" s="9">
        <f t="shared" si="46"/>
        <v>0</v>
      </c>
      <c r="Q55" s="9">
        <f t="shared" si="46"/>
        <v>0</v>
      </c>
      <c r="R55" s="9">
        <f t="shared" si="46"/>
        <v>0</v>
      </c>
      <c r="S55" s="9">
        <f t="shared" si="46"/>
        <v>0</v>
      </c>
      <c r="T55" s="9">
        <f t="shared" si="46"/>
        <v>0</v>
      </c>
    </row>
    <row r="56" spans="1:20" x14ac:dyDescent="0.25">
      <c r="B56" s="2" t="s">
        <v>40</v>
      </c>
      <c r="F56" s="40" t="s">
        <v>12</v>
      </c>
      <c r="G56" s="19"/>
      <c r="H56" s="38">
        <f ca="1">-$G$33/5*H$8</f>
        <v>-0.6</v>
      </c>
      <c r="I56" s="38">
        <f ca="1">-$G$33/5*I$8</f>
        <v>-0.6</v>
      </c>
      <c r="J56" s="38">
        <f ca="1">-$G$33/5*J$8</f>
        <v>-0.6</v>
      </c>
      <c r="K56" s="38">
        <f ca="1">-$G$33/5*K$8</f>
        <v>-0.6</v>
      </c>
      <c r="L56" s="38">
        <f ca="1">-$G$33/5*L$8</f>
        <v>-0.6</v>
      </c>
      <c r="M56" s="38">
        <f t="shared" ref="M56:T56" ca="1" si="47">-$G$33/5*M$8</f>
        <v>0</v>
      </c>
      <c r="N56" s="38">
        <f t="shared" ca="1" si="47"/>
        <v>0</v>
      </c>
      <c r="O56" s="38">
        <f t="shared" ca="1" si="47"/>
        <v>0</v>
      </c>
      <c r="P56" s="38">
        <f t="shared" ca="1" si="47"/>
        <v>0</v>
      </c>
      <c r="Q56" s="38">
        <f t="shared" ca="1" si="47"/>
        <v>0</v>
      </c>
      <c r="R56" s="38">
        <f t="shared" ca="1" si="47"/>
        <v>0</v>
      </c>
      <c r="S56" s="38">
        <f t="shared" ca="1" si="47"/>
        <v>0</v>
      </c>
      <c r="T56" s="38">
        <f t="shared" ca="1" si="47"/>
        <v>0</v>
      </c>
    </row>
    <row r="57" spans="1:20" s="1" customFormat="1" x14ac:dyDescent="0.25">
      <c r="B57" s="1" t="s">
        <v>41</v>
      </c>
      <c r="E57" s="10"/>
      <c r="F57" s="40" t="s">
        <v>12</v>
      </c>
      <c r="G57" s="20"/>
      <c r="H57" s="11">
        <f ca="1">SUM(H53,H55:H56)</f>
        <v>22.999999999999993</v>
      </c>
      <c r="I57" s="11">
        <f ca="1">SUM(I53,I55:I56)</f>
        <v>26.884999999999998</v>
      </c>
      <c r="J57" s="11">
        <f ca="1">SUM(J53,J55:J56)</f>
        <v>31.074500000000008</v>
      </c>
      <c r="K57" s="11">
        <f ca="1">SUM(K53,K55:K56)</f>
        <v>35.589237500000003</v>
      </c>
      <c r="L57" s="11">
        <f ca="1">SUM(L53,L55:L56)</f>
        <v>40.451262500000006</v>
      </c>
      <c r="M57" s="11">
        <f t="shared" ref="M57:T57" ca="1" si="48">SUM(M53,M55:M56)</f>
        <v>0</v>
      </c>
      <c r="N57" s="11">
        <f t="shared" ca="1" si="48"/>
        <v>0</v>
      </c>
      <c r="O57" s="11">
        <f t="shared" ca="1" si="48"/>
        <v>0</v>
      </c>
      <c r="P57" s="11">
        <f t="shared" ca="1" si="48"/>
        <v>0</v>
      </c>
      <c r="Q57" s="11">
        <f t="shared" ca="1" si="48"/>
        <v>0</v>
      </c>
      <c r="R57" s="11">
        <f t="shared" ca="1" si="48"/>
        <v>0</v>
      </c>
      <c r="S57" s="11">
        <f t="shared" ca="1" si="48"/>
        <v>0</v>
      </c>
      <c r="T57" s="11">
        <f t="shared" ca="1" si="48"/>
        <v>0</v>
      </c>
    </row>
    <row r="58" spans="1:20" x14ac:dyDescent="0.25">
      <c r="B58" s="2" t="s">
        <v>42</v>
      </c>
      <c r="F58" s="40" t="s">
        <v>12</v>
      </c>
      <c r="G58" s="19"/>
      <c r="H58" s="9">
        <f>+H70</f>
        <v>-5.2500000000000009</v>
      </c>
      <c r="I58" s="9">
        <f>+I70</f>
        <v>-4.9875000000000007</v>
      </c>
      <c r="J58" s="9">
        <f>+J70</f>
        <v>-4.2</v>
      </c>
      <c r="K58" s="9">
        <f>+K70</f>
        <v>-3.1500000000000004</v>
      </c>
      <c r="L58" s="9">
        <f>+L70</f>
        <v>-1.5750000000000002</v>
      </c>
      <c r="M58" s="9">
        <f t="shared" ref="M58:T58" si="49">+M70</f>
        <v>0</v>
      </c>
      <c r="N58" s="9">
        <f t="shared" si="49"/>
        <v>0</v>
      </c>
      <c r="O58" s="9">
        <f t="shared" si="49"/>
        <v>0</v>
      </c>
      <c r="P58" s="9">
        <f t="shared" si="49"/>
        <v>0</v>
      </c>
      <c r="Q58" s="9">
        <f t="shared" si="49"/>
        <v>0</v>
      </c>
      <c r="R58" s="9">
        <f t="shared" si="49"/>
        <v>0</v>
      </c>
      <c r="S58" s="9">
        <f t="shared" si="49"/>
        <v>0</v>
      </c>
      <c r="T58" s="9">
        <f t="shared" si="49"/>
        <v>0</v>
      </c>
    </row>
    <row r="59" spans="1:20" s="1" customFormat="1" x14ac:dyDescent="0.25">
      <c r="B59" s="1" t="s">
        <v>43</v>
      </c>
      <c r="E59" s="10"/>
      <c r="F59" s="40" t="s">
        <v>12</v>
      </c>
      <c r="G59" s="20"/>
      <c r="H59" s="11">
        <f ca="1">SUM(H57:H58)</f>
        <v>17.749999999999993</v>
      </c>
      <c r="I59" s="11">
        <f ca="1">SUM(I57:I58)</f>
        <v>21.897499999999997</v>
      </c>
      <c r="J59" s="11">
        <f ca="1">SUM(J57:J58)</f>
        <v>26.874500000000008</v>
      </c>
      <c r="K59" s="11">
        <f ca="1">SUM(K57:K58)</f>
        <v>32.439237500000004</v>
      </c>
      <c r="L59" s="11">
        <f ca="1">SUM(L57:L58)</f>
        <v>38.876262500000003</v>
      </c>
      <c r="M59" s="11">
        <f t="shared" ref="M59:T59" ca="1" si="50">SUM(M57:M58)</f>
        <v>0</v>
      </c>
      <c r="N59" s="11">
        <f t="shared" ca="1" si="50"/>
        <v>0</v>
      </c>
      <c r="O59" s="11">
        <f t="shared" ca="1" si="50"/>
        <v>0</v>
      </c>
      <c r="P59" s="11">
        <f t="shared" ca="1" si="50"/>
        <v>0</v>
      </c>
      <c r="Q59" s="11">
        <f t="shared" ca="1" si="50"/>
        <v>0</v>
      </c>
      <c r="R59" s="11">
        <f t="shared" ca="1" si="50"/>
        <v>0</v>
      </c>
      <c r="S59" s="11">
        <f t="shared" ca="1" si="50"/>
        <v>0</v>
      </c>
      <c r="T59" s="11">
        <f t="shared" ca="1" si="50"/>
        <v>0</v>
      </c>
    </row>
    <row r="60" spans="1:20" x14ac:dyDescent="0.25">
      <c r="B60" s="2" t="s">
        <v>44</v>
      </c>
      <c r="F60" s="40" t="s">
        <v>12</v>
      </c>
      <c r="G60" s="19"/>
      <c r="H60" s="9">
        <f ca="1">-H59*$G$21</f>
        <v>-5.3249999999999975</v>
      </c>
      <c r="I60" s="9">
        <f ca="1">-I59*$G$21</f>
        <v>-6.5692499999999994</v>
      </c>
      <c r="J60" s="9">
        <f ca="1">-J59*$G$21</f>
        <v>-8.0623500000000021</v>
      </c>
      <c r="K60" s="9">
        <f ca="1">-K59*$G$21</f>
        <v>-9.7317712500000013</v>
      </c>
      <c r="L60" s="9">
        <f ca="1">-L59*$G$21</f>
        <v>-11.662878750000001</v>
      </c>
      <c r="M60" s="9">
        <f t="shared" ref="M60:T60" ca="1" si="51">-M59*$G$21</f>
        <v>0</v>
      </c>
      <c r="N60" s="9">
        <f t="shared" ca="1" si="51"/>
        <v>0</v>
      </c>
      <c r="O60" s="9">
        <f t="shared" ca="1" si="51"/>
        <v>0</v>
      </c>
      <c r="P60" s="9">
        <f t="shared" ca="1" si="51"/>
        <v>0</v>
      </c>
      <c r="Q60" s="9">
        <f t="shared" ca="1" si="51"/>
        <v>0</v>
      </c>
      <c r="R60" s="9">
        <f t="shared" ca="1" si="51"/>
        <v>0</v>
      </c>
      <c r="S60" s="9">
        <f t="shared" ca="1" si="51"/>
        <v>0</v>
      </c>
      <c r="T60" s="9">
        <f t="shared" ca="1" si="51"/>
        <v>0</v>
      </c>
    </row>
    <row r="61" spans="1:20" s="1" customFormat="1" x14ac:dyDescent="0.25">
      <c r="B61" s="1" t="s">
        <v>45</v>
      </c>
      <c r="E61" s="10"/>
      <c r="F61" s="40" t="s">
        <v>12</v>
      </c>
      <c r="G61" s="20"/>
      <c r="H61" s="11">
        <f ca="1">SUM(H59:H60)</f>
        <v>12.424999999999995</v>
      </c>
      <c r="I61" s="11">
        <f ca="1">SUM(I59:I60)</f>
        <v>15.328249999999997</v>
      </c>
      <c r="J61" s="11">
        <f ca="1">SUM(J59:J60)</f>
        <v>18.812150000000006</v>
      </c>
      <c r="K61" s="11">
        <f ca="1">SUM(K59:K60)</f>
        <v>22.707466250000003</v>
      </c>
      <c r="L61" s="11">
        <f ca="1">SUM(L59:L60)</f>
        <v>27.213383750000002</v>
      </c>
      <c r="M61" s="11">
        <f t="shared" ref="M61:T61" ca="1" si="52">SUM(M59:M60)</f>
        <v>0</v>
      </c>
      <c r="N61" s="11">
        <f t="shared" ca="1" si="52"/>
        <v>0</v>
      </c>
      <c r="O61" s="11">
        <f t="shared" ca="1" si="52"/>
        <v>0</v>
      </c>
      <c r="P61" s="11">
        <f t="shared" ca="1" si="52"/>
        <v>0</v>
      </c>
      <c r="Q61" s="11">
        <f t="shared" ca="1" si="52"/>
        <v>0</v>
      </c>
      <c r="R61" s="11">
        <f t="shared" ca="1" si="52"/>
        <v>0</v>
      </c>
      <c r="S61" s="11">
        <f t="shared" ca="1" si="52"/>
        <v>0</v>
      </c>
      <c r="T61" s="11">
        <f t="shared" ca="1" si="52"/>
        <v>0</v>
      </c>
    </row>
    <row r="62" spans="1:20" x14ac:dyDescent="0.25">
      <c r="F62" s="40"/>
    </row>
    <row r="63" spans="1:20" s="29" customFormat="1" x14ac:dyDescent="0.25">
      <c r="A63" s="28" t="s">
        <v>23</v>
      </c>
      <c r="F63" s="39"/>
    </row>
    <row r="64" spans="1:20" x14ac:dyDescent="0.25">
      <c r="F64" s="40"/>
    </row>
    <row r="65" spans="1:20" x14ac:dyDescent="0.25">
      <c r="B65" s="2" t="s">
        <v>46</v>
      </c>
      <c r="F65" s="40" t="s">
        <v>17</v>
      </c>
      <c r="G65" s="36">
        <v>0</v>
      </c>
      <c r="H65" s="36">
        <v>0.05</v>
      </c>
      <c r="I65" s="36">
        <v>0.15</v>
      </c>
      <c r="J65" s="36">
        <v>0.2</v>
      </c>
      <c r="K65" s="36">
        <v>0.3</v>
      </c>
      <c r="L65" s="36">
        <v>0.3</v>
      </c>
      <c r="M65" s="36">
        <v>0.3</v>
      </c>
      <c r="N65" s="36">
        <v>0.3</v>
      </c>
      <c r="O65" s="36">
        <v>0.3</v>
      </c>
      <c r="P65" s="36">
        <v>0.3</v>
      </c>
      <c r="Q65" s="36">
        <v>0.3</v>
      </c>
      <c r="R65" s="36">
        <v>0.3</v>
      </c>
      <c r="S65" s="36">
        <v>0.3</v>
      </c>
      <c r="T65" s="36">
        <v>0.3</v>
      </c>
    </row>
    <row r="66" spans="1:20" x14ac:dyDescent="0.25">
      <c r="F66" s="40"/>
    </row>
    <row r="67" spans="1:20" x14ac:dyDescent="0.25">
      <c r="B67" s="2" t="s">
        <v>47</v>
      </c>
      <c r="F67" s="40" t="s">
        <v>12</v>
      </c>
      <c r="H67" s="9">
        <f>G72+IF(H$6=1,$G$18,0)</f>
        <v>75</v>
      </c>
      <c r="I67" s="9">
        <f>H72+IF(I$6=1,$G$18,0)</f>
        <v>71.25</v>
      </c>
      <c r="J67" s="9">
        <f>I72+IF(J$6=1,$G$18,0)</f>
        <v>60</v>
      </c>
      <c r="K67" s="9">
        <f>J72+IF(K$6=1,$G$18,0)</f>
        <v>45</v>
      </c>
      <c r="L67" s="9">
        <f>K72+IF(L$6=1,$G$18,0)</f>
        <v>22.5</v>
      </c>
      <c r="M67" s="9">
        <f t="shared" ref="M67:T67" si="53">L72+IF(M$6=1,$G$18,0)</f>
        <v>0</v>
      </c>
      <c r="N67" s="9">
        <f t="shared" si="53"/>
        <v>0</v>
      </c>
      <c r="O67" s="9">
        <f t="shared" si="53"/>
        <v>0</v>
      </c>
      <c r="P67" s="9">
        <f t="shared" si="53"/>
        <v>0</v>
      </c>
      <c r="Q67" s="9">
        <f t="shared" si="53"/>
        <v>0</v>
      </c>
      <c r="R67" s="9">
        <f t="shared" si="53"/>
        <v>0</v>
      </c>
      <c r="S67" s="9">
        <f t="shared" si="53"/>
        <v>0</v>
      </c>
      <c r="T67" s="9">
        <f t="shared" si="53"/>
        <v>0</v>
      </c>
    </row>
    <row r="68" spans="1:20" x14ac:dyDescent="0.25">
      <c r="B68" s="2" t="s">
        <v>48</v>
      </c>
      <c r="F68" s="40" t="s">
        <v>12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1:20" x14ac:dyDescent="0.25">
      <c r="B69" s="2" t="s">
        <v>49</v>
      </c>
      <c r="F69" s="40" t="s">
        <v>12</v>
      </c>
      <c r="H69" s="9">
        <f>+IF(H$7=1,-SUM(H67:H68),-H65*$G$18)*H$8</f>
        <v>-3.75</v>
      </c>
      <c r="I69" s="9">
        <f>+IF(I$7=1,-SUM(I67:I68),-I65*$G$18)*I$8</f>
        <v>-11.25</v>
      </c>
      <c r="J69" s="9">
        <f>+IF(J$7=1,-SUM(J67:J68),-J65*$G$18)*J$8</f>
        <v>-15</v>
      </c>
      <c r="K69" s="9">
        <f>+IF(K$7=1,-SUM(K67:K68),-K65*$G$18)*K$8</f>
        <v>-22.5</v>
      </c>
      <c r="L69" s="9">
        <f>+IF(L$7=1,-SUM(L67:L68),-L65*$G$18)*L$8</f>
        <v>-22.5</v>
      </c>
      <c r="M69" s="9">
        <f t="shared" ref="M69:T69" si="54">+IF(M$7=1,-SUM(M67:M68),-M65*$G$18)*M$8</f>
        <v>0</v>
      </c>
      <c r="N69" s="9">
        <f t="shared" si="54"/>
        <v>0</v>
      </c>
      <c r="O69" s="9">
        <f t="shared" si="54"/>
        <v>0</v>
      </c>
      <c r="P69" s="9">
        <f t="shared" si="54"/>
        <v>0</v>
      </c>
      <c r="Q69" s="9">
        <f t="shared" si="54"/>
        <v>0</v>
      </c>
      <c r="R69" s="9">
        <f t="shared" si="54"/>
        <v>0</v>
      </c>
      <c r="S69" s="9">
        <f t="shared" si="54"/>
        <v>0</v>
      </c>
      <c r="T69" s="9">
        <f t="shared" si="54"/>
        <v>0</v>
      </c>
    </row>
    <row r="70" spans="1:20" x14ac:dyDescent="0.25">
      <c r="B70" s="2" t="s">
        <v>42</v>
      </c>
      <c r="F70" s="40" t="s">
        <v>12</v>
      </c>
      <c r="H70" s="9">
        <f>-SUM(H67:H68)*$G$19</f>
        <v>-5.2500000000000009</v>
      </c>
      <c r="I70" s="9">
        <f t="shared" ref="I70:L70" si="55">-SUM(I67:I68)*$G$19</f>
        <v>-4.9875000000000007</v>
      </c>
      <c r="J70" s="9">
        <f t="shared" si="55"/>
        <v>-4.2</v>
      </c>
      <c r="K70" s="9">
        <f t="shared" si="55"/>
        <v>-3.1500000000000004</v>
      </c>
      <c r="L70" s="9">
        <f t="shared" si="55"/>
        <v>-1.5750000000000002</v>
      </c>
      <c r="M70" s="9">
        <f t="shared" ref="M70:T70" si="56">-SUM(M67:M68)*$G$19</f>
        <v>0</v>
      </c>
      <c r="N70" s="9">
        <f t="shared" si="56"/>
        <v>0</v>
      </c>
      <c r="O70" s="9">
        <f t="shared" si="56"/>
        <v>0</v>
      </c>
      <c r="P70" s="9">
        <f t="shared" si="56"/>
        <v>0</v>
      </c>
      <c r="Q70" s="9">
        <f t="shared" si="56"/>
        <v>0</v>
      </c>
      <c r="R70" s="9">
        <f t="shared" si="56"/>
        <v>0</v>
      </c>
      <c r="S70" s="9">
        <f t="shared" si="56"/>
        <v>0</v>
      </c>
      <c r="T70" s="9">
        <f t="shared" si="56"/>
        <v>0</v>
      </c>
    </row>
    <row r="71" spans="1:20" x14ac:dyDescent="0.25">
      <c r="B71" s="2" t="s">
        <v>50</v>
      </c>
      <c r="F71" s="40" t="s">
        <v>12</v>
      </c>
      <c r="H71" s="9">
        <f>-H70</f>
        <v>5.2500000000000009</v>
      </c>
      <c r="I71" s="9">
        <f>-I70</f>
        <v>4.9875000000000007</v>
      </c>
      <c r="J71" s="9">
        <f>-J70</f>
        <v>4.2</v>
      </c>
      <c r="K71" s="9">
        <f>-K70</f>
        <v>3.1500000000000004</v>
      </c>
      <c r="L71" s="9">
        <f>-L70</f>
        <v>1.5750000000000002</v>
      </c>
      <c r="M71" s="9">
        <f t="shared" ref="M71:T71" si="57">-M70</f>
        <v>0</v>
      </c>
      <c r="N71" s="9">
        <f t="shared" si="57"/>
        <v>0</v>
      </c>
      <c r="O71" s="9">
        <f t="shared" si="57"/>
        <v>0</v>
      </c>
      <c r="P71" s="9">
        <f t="shared" si="57"/>
        <v>0</v>
      </c>
      <c r="Q71" s="9">
        <f t="shared" si="57"/>
        <v>0</v>
      </c>
      <c r="R71" s="9">
        <f t="shared" si="57"/>
        <v>0</v>
      </c>
      <c r="S71" s="9">
        <f t="shared" si="57"/>
        <v>0</v>
      </c>
      <c r="T71" s="9">
        <f t="shared" si="57"/>
        <v>0</v>
      </c>
    </row>
    <row r="72" spans="1:20" s="1" customFormat="1" x14ac:dyDescent="0.25">
      <c r="B72" s="1" t="s">
        <v>51</v>
      </c>
      <c r="E72" s="10"/>
      <c r="F72" s="40" t="s">
        <v>12</v>
      </c>
      <c r="G72" s="22"/>
      <c r="H72" s="11">
        <f>SUM(H67:H71)</f>
        <v>71.25</v>
      </c>
      <c r="I72" s="11">
        <f>SUM(I67:I71)</f>
        <v>60</v>
      </c>
      <c r="J72" s="11">
        <f>SUM(J67:J71)</f>
        <v>45</v>
      </c>
      <c r="K72" s="11">
        <f>SUM(K67:K71)</f>
        <v>22.5</v>
      </c>
      <c r="L72" s="11">
        <f>SUM(L67:L71)</f>
        <v>0</v>
      </c>
      <c r="M72" s="11">
        <f t="shared" ref="M72:T72" si="58">SUM(M67:M71)</f>
        <v>0</v>
      </c>
      <c r="N72" s="11">
        <f t="shared" si="58"/>
        <v>0</v>
      </c>
      <c r="O72" s="11">
        <f t="shared" si="58"/>
        <v>0</v>
      </c>
      <c r="P72" s="11">
        <f t="shared" si="58"/>
        <v>0</v>
      </c>
      <c r="Q72" s="11">
        <f t="shared" si="58"/>
        <v>0</v>
      </c>
      <c r="R72" s="11">
        <f t="shared" si="58"/>
        <v>0</v>
      </c>
      <c r="S72" s="11">
        <f t="shared" si="58"/>
        <v>0</v>
      </c>
      <c r="T72" s="11">
        <f t="shared" si="58"/>
        <v>0</v>
      </c>
    </row>
    <row r="73" spans="1:20" x14ac:dyDescent="0.25">
      <c r="F73" s="40"/>
    </row>
    <row r="74" spans="1:20" s="29" customFormat="1" x14ac:dyDescent="0.25">
      <c r="A74" s="28" t="s">
        <v>52</v>
      </c>
      <c r="F74" s="39"/>
    </row>
    <row r="75" spans="1:20" x14ac:dyDescent="0.25">
      <c r="F75" s="40"/>
    </row>
    <row r="76" spans="1:20" s="1" customFormat="1" x14ac:dyDescent="0.25">
      <c r="B76" s="1" t="s">
        <v>37</v>
      </c>
      <c r="E76" s="10"/>
      <c r="F76" s="40" t="s">
        <v>12</v>
      </c>
      <c r="H76" s="11">
        <f>+H53</f>
        <v>33.599999999999994</v>
      </c>
      <c r="I76" s="11">
        <f>+I53</f>
        <v>37.484999999999999</v>
      </c>
      <c r="J76" s="11">
        <f>+J53</f>
        <v>41.674500000000009</v>
      </c>
      <c r="K76" s="11">
        <f>+K53</f>
        <v>46.189237500000004</v>
      </c>
      <c r="L76" s="11">
        <f>+L53</f>
        <v>51.051262500000007</v>
      </c>
      <c r="M76" s="11">
        <f t="shared" ref="M76:T76" si="59">+M53</f>
        <v>0</v>
      </c>
      <c r="N76" s="11">
        <f t="shared" si="59"/>
        <v>0</v>
      </c>
      <c r="O76" s="11">
        <f t="shared" si="59"/>
        <v>0</v>
      </c>
      <c r="P76" s="11">
        <f t="shared" si="59"/>
        <v>0</v>
      </c>
      <c r="Q76" s="11">
        <f t="shared" si="59"/>
        <v>0</v>
      </c>
      <c r="R76" s="11">
        <f t="shared" si="59"/>
        <v>0</v>
      </c>
      <c r="S76" s="11">
        <f t="shared" si="59"/>
        <v>0</v>
      </c>
      <c r="T76" s="11">
        <f t="shared" si="59"/>
        <v>0</v>
      </c>
    </row>
    <row r="77" spans="1:20" x14ac:dyDescent="0.25">
      <c r="B77" s="2" t="s">
        <v>53</v>
      </c>
      <c r="F77" s="40" t="s">
        <v>12</v>
      </c>
      <c r="G77" s="37">
        <v>-10</v>
      </c>
      <c r="H77" s="9">
        <f>+G77*H$8</f>
        <v>-10</v>
      </c>
      <c r="I77" s="9">
        <f>+H77*I$8</f>
        <v>-10</v>
      </c>
      <c r="J77" s="9">
        <f>+I77*J$8</f>
        <v>-10</v>
      </c>
      <c r="K77" s="9">
        <f>+J77*K$8</f>
        <v>-10</v>
      </c>
      <c r="L77" s="9">
        <f>+K77*L$8</f>
        <v>-10</v>
      </c>
      <c r="M77" s="9">
        <f t="shared" ref="M77:T77" si="60">+L77*M$8</f>
        <v>0</v>
      </c>
      <c r="N77" s="9">
        <f t="shared" si="60"/>
        <v>0</v>
      </c>
      <c r="O77" s="9">
        <f t="shared" si="60"/>
        <v>0</v>
      </c>
      <c r="P77" s="9">
        <f t="shared" si="60"/>
        <v>0</v>
      </c>
      <c r="Q77" s="9">
        <f t="shared" si="60"/>
        <v>0</v>
      </c>
      <c r="R77" s="9">
        <f t="shared" si="60"/>
        <v>0</v>
      </c>
      <c r="S77" s="9">
        <f t="shared" si="60"/>
        <v>0</v>
      </c>
      <c r="T77" s="9">
        <f t="shared" si="60"/>
        <v>0</v>
      </c>
    </row>
    <row r="78" spans="1:20" x14ac:dyDescent="0.25">
      <c r="B78" s="2" t="s">
        <v>54</v>
      </c>
      <c r="F78" s="40" t="s">
        <v>12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x14ac:dyDescent="0.25">
      <c r="B79" s="2" t="s">
        <v>55</v>
      </c>
      <c r="F79" s="40" t="s">
        <v>12</v>
      </c>
      <c r="H79" s="9">
        <f ca="1">+H60</f>
        <v>-5.3249999999999975</v>
      </c>
      <c r="I79" s="9">
        <f t="shared" ref="I79:L79" ca="1" si="61">+I60</f>
        <v>-6.5692499999999994</v>
      </c>
      <c r="J79" s="9">
        <f t="shared" ca="1" si="61"/>
        <v>-8.0623500000000021</v>
      </c>
      <c r="K79" s="9">
        <f t="shared" ca="1" si="61"/>
        <v>-9.7317712500000013</v>
      </c>
      <c r="L79" s="9">
        <f t="shared" ca="1" si="61"/>
        <v>-11.662878750000001</v>
      </c>
      <c r="M79" s="9">
        <f t="shared" ref="M79:T79" ca="1" si="62">+M60</f>
        <v>0</v>
      </c>
      <c r="N79" s="9">
        <f t="shared" ca="1" si="62"/>
        <v>0</v>
      </c>
      <c r="O79" s="9">
        <f t="shared" ca="1" si="62"/>
        <v>0</v>
      </c>
      <c r="P79" s="9">
        <f t="shared" ca="1" si="62"/>
        <v>0</v>
      </c>
      <c r="Q79" s="9">
        <f t="shared" ca="1" si="62"/>
        <v>0</v>
      </c>
      <c r="R79" s="9">
        <f t="shared" ca="1" si="62"/>
        <v>0</v>
      </c>
      <c r="S79" s="9">
        <f t="shared" ca="1" si="62"/>
        <v>0</v>
      </c>
      <c r="T79" s="9">
        <f t="shared" ca="1" si="62"/>
        <v>0</v>
      </c>
    </row>
    <row r="80" spans="1:20" x14ac:dyDescent="0.25">
      <c r="B80" s="2" t="s">
        <v>56</v>
      </c>
      <c r="F80" s="40" t="s">
        <v>12</v>
      </c>
      <c r="H80" s="9">
        <f t="shared" ref="H80:L81" si="63">+H68</f>
        <v>0</v>
      </c>
      <c r="I80" s="9">
        <f t="shared" si="63"/>
        <v>0</v>
      </c>
      <c r="J80" s="9">
        <f t="shared" si="63"/>
        <v>0</v>
      </c>
      <c r="K80" s="9">
        <f t="shared" si="63"/>
        <v>0</v>
      </c>
      <c r="L80" s="9">
        <f t="shared" si="63"/>
        <v>0</v>
      </c>
      <c r="M80" s="9">
        <f t="shared" ref="M80:T80" si="64">+M68</f>
        <v>0</v>
      </c>
      <c r="N80" s="9">
        <f t="shared" si="64"/>
        <v>0</v>
      </c>
      <c r="O80" s="9">
        <f t="shared" si="64"/>
        <v>0</v>
      </c>
      <c r="P80" s="9">
        <f t="shared" si="64"/>
        <v>0</v>
      </c>
      <c r="Q80" s="9">
        <f t="shared" si="64"/>
        <v>0</v>
      </c>
      <c r="R80" s="9">
        <f t="shared" si="64"/>
        <v>0</v>
      </c>
      <c r="S80" s="9">
        <f t="shared" si="64"/>
        <v>0</v>
      </c>
      <c r="T80" s="9">
        <f t="shared" si="64"/>
        <v>0</v>
      </c>
    </row>
    <row r="81" spans="1:20" x14ac:dyDescent="0.25">
      <c r="B81" s="2" t="s">
        <v>57</v>
      </c>
      <c r="F81" s="40" t="s">
        <v>12</v>
      </c>
      <c r="H81" s="9">
        <f t="shared" si="63"/>
        <v>-3.75</v>
      </c>
      <c r="I81" s="9">
        <f t="shared" si="63"/>
        <v>-11.25</v>
      </c>
      <c r="J81" s="9">
        <f t="shared" si="63"/>
        <v>-15</v>
      </c>
      <c r="K81" s="9">
        <f t="shared" si="63"/>
        <v>-22.5</v>
      </c>
      <c r="L81" s="9">
        <f t="shared" si="63"/>
        <v>-22.5</v>
      </c>
      <c r="M81" s="9">
        <f t="shared" ref="M81:T81" si="65">+M69</f>
        <v>0</v>
      </c>
      <c r="N81" s="9">
        <f t="shared" si="65"/>
        <v>0</v>
      </c>
      <c r="O81" s="9">
        <f t="shared" si="65"/>
        <v>0</v>
      </c>
      <c r="P81" s="9">
        <f t="shared" si="65"/>
        <v>0</v>
      </c>
      <c r="Q81" s="9">
        <f t="shared" si="65"/>
        <v>0</v>
      </c>
      <c r="R81" s="9">
        <f t="shared" si="65"/>
        <v>0</v>
      </c>
      <c r="S81" s="9">
        <f t="shared" si="65"/>
        <v>0</v>
      </c>
      <c r="T81" s="9">
        <f t="shared" si="65"/>
        <v>0</v>
      </c>
    </row>
    <row r="82" spans="1:20" x14ac:dyDescent="0.25">
      <c r="B82" s="2" t="s">
        <v>58</v>
      </c>
      <c r="F82" s="40" t="s">
        <v>12</v>
      </c>
      <c r="H82" s="9">
        <f>-H71</f>
        <v>-5.2500000000000009</v>
      </c>
      <c r="I82" s="9">
        <f>-I71</f>
        <v>-4.9875000000000007</v>
      </c>
      <c r="J82" s="9">
        <f>-J71</f>
        <v>-4.2</v>
      </c>
      <c r="K82" s="9">
        <f>-K71</f>
        <v>-3.1500000000000004</v>
      </c>
      <c r="L82" s="9">
        <f>-L71</f>
        <v>-1.5750000000000002</v>
      </c>
      <c r="M82" s="9">
        <f t="shared" ref="M82:T82" si="66">-M71</f>
        <v>0</v>
      </c>
      <c r="N82" s="9">
        <f t="shared" si="66"/>
        <v>0</v>
      </c>
      <c r="O82" s="9">
        <f t="shared" si="66"/>
        <v>0</v>
      </c>
      <c r="P82" s="9">
        <f t="shared" si="66"/>
        <v>0</v>
      </c>
      <c r="Q82" s="9">
        <f t="shared" si="66"/>
        <v>0</v>
      </c>
      <c r="R82" s="9">
        <f t="shared" si="66"/>
        <v>0</v>
      </c>
      <c r="S82" s="9">
        <f t="shared" si="66"/>
        <v>0</v>
      </c>
      <c r="T82" s="9">
        <f t="shared" si="66"/>
        <v>0</v>
      </c>
    </row>
    <row r="83" spans="1:20" s="1" customFormat="1" x14ac:dyDescent="0.25">
      <c r="B83" s="1" t="s">
        <v>52</v>
      </c>
      <c r="E83" s="10"/>
      <c r="F83" s="40" t="s">
        <v>12</v>
      </c>
      <c r="H83" s="11">
        <f ca="1">SUM(H76:H82)</f>
        <v>9.2749999999999986</v>
      </c>
      <c r="I83" s="11">
        <f t="shared" ref="I83:L83" ca="1" si="67">SUM(I76:I82)</f>
        <v>4.6782499999999985</v>
      </c>
      <c r="J83" s="11">
        <f t="shared" ca="1" si="67"/>
        <v>4.4121500000000067</v>
      </c>
      <c r="K83" s="11">
        <f t="shared" ca="1" si="67"/>
        <v>0.80746625000000272</v>
      </c>
      <c r="L83" s="11">
        <f t="shared" ca="1" si="67"/>
        <v>5.3133837500000061</v>
      </c>
      <c r="M83" s="11">
        <f t="shared" ref="M83:T83" ca="1" si="68">SUM(M76:M82)</f>
        <v>0</v>
      </c>
      <c r="N83" s="11">
        <f t="shared" ca="1" si="68"/>
        <v>0</v>
      </c>
      <c r="O83" s="11">
        <f t="shared" ca="1" si="68"/>
        <v>0</v>
      </c>
      <c r="P83" s="11">
        <f t="shared" ca="1" si="68"/>
        <v>0</v>
      </c>
      <c r="Q83" s="11">
        <f t="shared" ca="1" si="68"/>
        <v>0</v>
      </c>
      <c r="R83" s="11">
        <f t="shared" ca="1" si="68"/>
        <v>0</v>
      </c>
      <c r="S83" s="11">
        <f t="shared" ca="1" si="68"/>
        <v>0</v>
      </c>
      <c r="T83" s="11">
        <f t="shared" ca="1" si="68"/>
        <v>0</v>
      </c>
    </row>
    <row r="84" spans="1:20" x14ac:dyDescent="0.25">
      <c r="F84" s="40"/>
    </row>
    <row r="85" spans="1:20" s="29" customFormat="1" x14ac:dyDescent="0.25">
      <c r="A85" s="28" t="s">
        <v>59</v>
      </c>
      <c r="F85" s="39"/>
    </row>
    <row r="86" spans="1:20" x14ac:dyDescent="0.25">
      <c r="F86" s="40"/>
    </row>
    <row r="87" spans="1:20" ht="14.65" customHeight="1" x14ac:dyDescent="0.25">
      <c r="B87" s="2" t="s">
        <v>60</v>
      </c>
      <c r="F87" s="40" t="s">
        <v>12</v>
      </c>
      <c r="G87" s="9">
        <f>-$G$16</f>
        <v>-78</v>
      </c>
      <c r="H87" s="14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</row>
    <row r="88" spans="1:20" x14ac:dyDescent="0.25">
      <c r="B88" s="2" t="s">
        <v>61</v>
      </c>
      <c r="F88" s="40" t="s">
        <v>12</v>
      </c>
      <c r="G88" s="19"/>
      <c r="H88" s="9">
        <f ca="1">+H83</f>
        <v>9.2749999999999986</v>
      </c>
      <c r="I88" s="9">
        <f ca="1">+I83</f>
        <v>4.6782499999999985</v>
      </c>
      <c r="J88" s="9">
        <f ca="1">+J83</f>
        <v>4.4121500000000067</v>
      </c>
      <c r="K88" s="9">
        <f ca="1">+K83</f>
        <v>0.80746625000000272</v>
      </c>
      <c r="L88" s="9">
        <f ca="1">+L83</f>
        <v>5.3133837500000061</v>
      </c>
      <c r="M88" s="9">
        <f t="shared" ref="M88:T88" ca="1" si="69">+M83</f>
        <v>0</v>
      </c>
      <c r="N88" s="9">
        <f t="shared" ca="1" si="69"/>
        <v>0</v>
      </c>
      <c r="O88" s="9">
        <f t="shared" ca="1" si="69"/>
        <v>0</v>
      </c>
      <c r="P88" s="9">
        <f t="shared" ca="1" si="69"/>
        <v>0</v>
      </c>
      <c r="Q88" s="9">
        <f t="shared" ca="1" si="69"/>
        <v>0</v>
      </c>
      <c r="R88" s="9">
        <f t="shared" ca="1" si="69"/>
        <v>0</v>
      </c>
      <c r="S88" s="9">
        <f t="shared" ca="1" si="69"/>
        <v>0</v>
      </c>
      <c r="T88" s="9">
        <f t="shared" ca="1" si="69"/>
        <v>0</v>
      </c>
    </row>
    <row r="89" spans="1:20" x14ac:dyDescent="0.25">
      <c r="A89" s="12"/>
      <c r="B89" s="2" t="s">
        <v>62</v>
      </c>
      <c r="F89" s="40" t="s">
        <v>12</v>
      </c>
      <c r="G89" s="19"/>
      <c r="H89" s="9">
        <f>+H$7*H$53*$G$23</f>
        <v>0</v>
      </c>
      <c r="I89" s="9">
        <f>+I$7*I$53*$G$23</f>
        <v>0</v>
      </c>
      <c r="J89" s="9">
        <f>+J$7*J$53*$G$23</f>
        <v>0</v>
      </c>
      <c r="K89" s="9">
        <f>+K$7*K$53*$G$23</f>
        <v>0</v>
      </c>
      <c r="L89" s="9">
        <f>+L$7*L$53*$G$23</f>
        <v>255.25631250000004</v>
      </c>
      <c r="M89" s="9">
        <f t="shared" ref="M89:T89" si="70">+M$7*M$53*$G$23</f>
        <v>0</v>
      </c>
      <c r="N89" s="9">
        <f t="shared" si="70"/>
        <v>0</v>
      </c>
      <c r="O89" s="9">
        <f t="shared" si="70"/>
        <v>0</v>
      </c>
      <c r="P89" s="9">
        <f t="shared" si="70"/>
        <v>0</v>
      </c>
      <c r="Q89" s="9">
        <f t="shared" si="70"/>
        <v>0</v>
      </c>
      <c r="R89" s="9">
        <f t="shared" si="70"/>
        <v>0</v>
      </c>
      <c r="S89" s="9">
        <f t="shared" si="70"/>
        <v>0</v>
      </c>
      <c r="T89" s="9">
        <f t="shared" si="70"/>
        <v>0</v>
      </c>
    </row>
    <row r="90" spans="1:20" x14ac:dyDescent="0.25">
      <c r="B90" s="2" t="s">
        <v>63</v>
      </c>
      <c r="F90" s="40" t="s">
        <v>12</v>
      </c>
      <c r="G90" s="7"/>
      <c r="H90" s="9">
        <f>+H69</f>
        <v>-3.75</v>
      </c>
      <c r="I90" s="9">
        <f t="shared" ref="I90:L90" si="71">+I69</f>
        <v>-11.25</v>
      </c>
      <c r="J90" s="9">
        <f t="shared" si="71"/>
        <v>-15</v>
      </c>
      <c r="K90" s="9">
        <f t="shared" si="71"/>
        <v>-22.5</v>
      </c>
      <c r="L90" s="9">
        <f t="shared" si="71"/>
        <v>-22.5</v>
      </c>
      <c r="M90" s="9">
        <f t="shared" ref="M90:T90" si="72">+M69</f>
        <v>0</v>
      </c>
      <c r="N90" s="9">
        <f t="shared" si="72"/>
        <v>0</v>
      </c>
      <c r="O90" s="9">
        <f t="shared" si="72"/>
        <v>0</v>
      </c>
      <c r="P90" s="9">
        <f t="shared" si="72"/>
        <v>0</v>
      </c>
      <c r="Q90" s="9">
        <f t="shared" si="72"/>
        <v>0</v>
      </c>
      <c r="R90" s="9">
        <f t="shared" si="72"/>
        <v>0</v>
      </c>
      <c r="S90" s="9">
        <f t="shared" si="72"/>
        <v>0</v>
      </c>
      <c r="T90" s="9">
        <f t="shared" si="72"/>
        <v>0</v>
      </c>
    </row>
    <row r="91" spans="1:20" s="1" customFormat="1" x14ac:dyDescent="0.25">
      <c r="B91" s="1" t="s">
        <v>64</v>
      </c>
      <c r="E91" s="10"/>
      <c r="F91" s="41" t="s">
        <v>12</v>
      </c>
      <c r="G91" s="11">
        <f t="shared" ref="G91:L91" si="73">SUM(G87:G90)</f>
        <v>-78</v>
      </c>
      <c r="H91" s="11">
        <f t="shared" ca="1" si="73"/>
        <v>5.5249999999999986</v>
      </c>
      <c r="I91" s="11">
        <f t="shared" ca="1" si="73"/>
        <v>-6.5717500000000015</v>
      </c>
      <c r="J91" s="11">
        <f t="shared" ca="1" si="73"/>
        <v>-10.587849999999992</v>
      </c>
      <c r="K91" s="11">
        <f t="shared" ca="1" si="73"/>
        <v>-21.692533749999996</v>
      </c>
      <c r="L91" s="11">
        <f t="shared" ca="1" si="73"/>
        <v>238.06969625000005</v>
      </c>
      <c r="M91" s="11">
        <f t="shared" ref="M91" ca="1" si="74">SUM(M87:M90)</f>
        <v>0</v>
      </c>
      <c r="N91" s="11">
        <f t="shared" ref="N91" ca="1" si="75">SUM(N87:N90)</f>
        <v>0</v>
      </c>
      <c r="O91" s="11">
        <f t="shared" ref="O91" ca="1" si="76">SUM(O87:O90)</f>
        <v>0</v>
      </c>
      <c r="P91" s="11">
        <f t="shared" ref="P91" ca="1" si="77">SUM(P87:P90)</f>
        <v>0</v>
      </c>
      <c r="Q91" s="11">
        <f t="shared" ref="Q91" ca="1" si="78">SUM(Q87:Q90)</f>
        <v>0</v>
      </c>
      <c r="R91" s="11">
        <f t="shared" ref="R91" ca="1" si="79">SUM(R87:R90)</f>
        <v>0</v>
      </c>
      <c r="S91" s="11">
        <f t="shared" ref="S91" ca="1" si="80">SUM(S87:S90)</f>
        <v>0</v>
      </c>
      <c r="T91" s="11">
        <f t="shared" ref="T91" ca="1" si="81">SUM(T87:T90)</f>
        <v>0</v>
      </c>
    </row>
    <row r="92" spans="1:20" x14ac:dyDescent="0.25">
      <c r="F92" s="40"/>
    </row>
    <row r="93" spans="1:20" x14ac:dyDescent="0.25">
      <c r="A93" s="12"/>
      <c r="B93" s="2" t="s">
        <v>65</v>
      </c>
      <c r="F93" s="40" t="s">
        <v>12</v>
      </c>
      <c r="G93" s="9">
        <f ca="1">+XNPV(G24,G91:L91,G$4:L$4)</f>
        <v>8.7371696430281531E-2</v>
      </c>
    </row>
    <row r="94" spans="1:20" x14ac:dyDescent="0.25">
      <c r="A94" s="12"/>
      <c r="B94" s="2" t="s">
        <v>66</v>
      </c>
      <c r="F94" s="40" t="s">
        <v>17</v>
      </c>
      <c r="G94" s="23">
        <f ca="1">+XIRR(G91:L91,G$4:L$4)</f>
        <v>0.20329709649086</v>
      </c>
    </row>
    <row r="95" spans="1:20" x14ac:dyDescent="0.25">
      <c r="F95" s="40"/>
    </row>
    <row r="96" spans="1:20" x14ac:dyDescent="0.25">
      <c r="F96" s="40"/>
    </row>
    <row r="97" spans="1:9" s="29" customFormat="1" x14ac:dyDescent="0.25">
      <c r="A97" s="28" t="s">
        <v>67</v>
      </c>
      <c r="F97" s="39"/>
    </row>
    <row r="98" spans="1:9" x14ac:dyDescent="0.25">
      <c r="F98" s="40"/>
    </row>
    <row r="99" spans="1:9" x14ac:dyDescent="0.25">
      <c r="F99" s="40"/>
    </row>
    <row r="100" spans="1:9" ht="19.5" x14ac:dyDescent="0.55000000000000004">
      <c r="F100" s="40"/>
      <c r="H100" s="24" t="s">
        <v>68</v>
      </c>
      <c r="I100" s="24"/>
    </row>
    <row r="101" spans="1:9" x14ac:dyDescent="0.25">
      <c r="F101" s="40"/>
      <c r="G101" s="25">
        <f ca="1">+$G$94</f>
        <v>0.20329709649086</v>
      </c>
      <c r="H101" s="26">
        <v>4</v>
      </c>
      <c r="I101" s="26">
        <v>5</v>
      </c>
    </row>
    <row r="102" spans="1:9" x14ac:dyDescent="0.25">
      <c r="F102" s="42" t="s">
        <v>69</v>
      </c>
      <c r="G102" s="27">
        <v>4</v>
      </c>
      <c r="H102" s="23">
        <v>7.9457125067710896E-2</v>
      </c>
      <c r="I102" s="23">
        <v>0.13686379790306089</v>
      </c>
    </row>
    <row r="103" spans="1:9" x14ac:dyDescent="0.25">
      <c r="F103" s="41"/>
      <c r="G103" s="27">
        <v>5</v>
      </c>
      <c r="H103" s="23">
        <v>0.18076247572898865</v>
      </c>
      <c r="I103" s="23">
        <v>0.20303942561149599</v>
      </c>
    </row>
    <row r="104" spans="1:9" x14ac:dyDescent="0.25">
      <c r="F104" s="41"/>
      <c r="G104" s="27">
        <v>6</v>
      </c>
      <c r="H104" s="23">
        <v>0.26159424185752866</v>
      </c>
      <c r="I104" s="23">
        <v>0.2577444732189178</v>
      </c>
    </row>
    <row r="105" spans="1:9" x14ac:dyDescent="0.25">
      <c r="F105" s="41"/>
    </row>
    <row r="106" spans="1:9" x14ac:dyDescent="0.25">
      <c r="F106" s="41"/>
    </row>
    <row r="107" spans="1:9" x14ac:dyDescent="0.25">
      <c r="F107" s="42" t="s">
        <v>70</v>
      </c>
      <c r="H107" s="25">
        <f ca="1">+$G$94</f>
        <v>0.20329709649086</v>
      </c>
    </row>
    <row r="108" spans="1:9" x14ac:dyDescent="0.25">
      <c r="F108" s="41"/>
      <c r="G108" s="27">
        <v>2</v>
      </c>
      <c r="H108" s="23">
        <v>0.20931721329689032</v>
      </c>
    </row>
    <row r="109" spans="1:9" x14ac:dyDescent="0.25">
      <c r="F109" s="41"/>
      <c r="G109" s="27">
        <v>2.5</v>
      </c>
      <c r="H109" s="23">
        <v>0.20303942561149599</v>
      </c>
    </row>
    <row r="110" spans="1:9" x14ac:dyDescent="0.25">
      <c r="F110" s="40"/>
      <c r="G110" s="27">
        <v>3</v>
      </c>
      <c r="H110" s="23">
        <v>0.19503883719444273</v>
      </c>
    </row>
    <row r="111" spans="1:9" x14ac:dyDescent="0.25">
      <c r="F111" s="40"/>
    </row>
    <row r="112" spans="1:9" x14ac:dyDescent="0.25">
      <c r="F112" s="40"/>
    </row>
    <row r="113" spans="6:6" x14ac:dyDescent="0.25">
      <c r="F113" s="43" t="s">
        <v>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Blackman</dc:creator>
  <cp:lastModifiedBy>Luke Blackman</cp:lastModifiedBy>
  <dcterms:created xsi:type="dcterms:W3CDTF">2025-10-02T11:37:20Z</dcterms:created>
  <dcterms:modified xsi:type="dcterms:W3CDTF">2025-10-02T21:59:07Z</dcterms:modified>
</cp:coreProperties>
</file>